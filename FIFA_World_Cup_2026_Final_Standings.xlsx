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priyanka mylavaram\Downloads\"/>
    </mc:Choice>
  </mc:AlternateContent>
  <xr:revisionPtr revIDLastSave="0" documentId="8_{D53BDEF9-6D0D-48EE-A3A9-0C2F9B059C89}" xr6:coauthVersionLast="47" xr6:coauthVersionMax="47" xr10:uidLastSave="{00000000-0000-0000-0000-000000000000}"/>
  <bookViews>
    <workbookView xWindow="-108" yWindow="-108" windowWidth="23256" windowHeight="12456" activeTab="1" xr2:uid="{00000000-000D-0000-FFFF-FFFF00000000}"/>
  </bookViews>
  <sheets>
    <sheet name="Pivot Tables" sheetId="8" r:id="rId1"/>
    <sheet name="Final Tournament Standings" sheetId="4" r:id="rId2"/>
    <sheet name="DashBoard" sheetId="7" r:id="rId3"/>
  </sheets>
  <definedNames>
    <definedName name="_xlnm.Print_Area" localSheetId="2">DashBoard!$K$11</definedName>
    <definedName name="Slicer_Group">#N/A</definedName>
    <definedName name="Slicer_Group1">#N/A</definedName>
    <definedName name="Slicer_Team">#N/A</definedName>
    <definedName name="Slicer_Tournament_Result">#N/A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P50" i="4" l="1"/>
  <c r="O50" i="4"/>
  <c r="N50" i="4"/>
  <c r="M50" i="4"/>
  <c r="P49" i="4"/>
  <c r="O49" i="4"/>
  <c r="N49" i="4"/>
  <c r="M49" i="4"/>
  <c r="P48" i="4"/>
  <c r="O48" i="4"/>
  <c r="N48" i="4"/>
  <c r="M48" i="4"/>
  <c r="P47" i="4"/>
  <c r="O47" i="4"/>
  <c r="N47" i="4"/>
  <c r="M47" i="4"/>
  <c r="P46" i="4"/>
  <c r="O46" i="4"/>
  <c r="N46" i="4"/>
  <c r="M46" i="4"/>
  <c r="P45" i="4"/>
  <c r="O45" i="4"/>
  <c r="N45" i="4"/>
  <c r="M45" i="4"/>
  <c r="P44" i="4"/>
  <c r="O44" i="4"/>
  <c r="N44" i="4"/>
  <c r="M44" i="4"/>
  <c r="P43" i="4"/>
  <c r="O43" i="4"/>
  <c r="N43" i="4"/>
  <c r="M43" i="4"/>
  <c r="P42" i="4"/>
  <c r="O42" i="4"/>
  <c r="N42" i="4"/>
  <c r="M42" i="4"/>
  <c r="P41" i="4"/>
  <c r="O41" i="4"/>
  <c r="N41" i="4"/>
  <c r="M41" i="4"/>
  <c r="P40" i="4"/>
  <c r="O40" i="4"/>
  <c r="N40" i="4"/>
  <c r="M40" i="4"/>
  <c r="P39" i="4"/>
  <c r="O39" i="4"/>
  <c r="N39" i="4"/>
  <c r="M39" i="4"/>
  <c r="P38" i="4"/>
  <c r="O38" i="4"/>
  <c r="N38" i="4"/>
  <c r="M38" i="4"/>
  <c r="P37" i="4"/>
  <c r="O37" i="4"/>
  <c r="N37" i="4"/>
  <c r="M37" i="4"/>
  <c r="P36" i="4"/>
  <c r="O36" i="4"/>
  <c r="N36" i="4"/>
  <c r="M36" i="4"/>
  <c r="P35" i="4"/>
  <c r="O35" i="4"/>
  <c r="N35" i="4"/>
  <c r="M35" i="4"/>
  <c r="P34" i="4"/>
  <c r="O34" i="4"/>
  <c r="N34" i="4"/>
  <c r="M34" i="4"/>
  <c r="P33" i="4"/>
  <c r="O33" i="4"/>
  <c r="N33" i="4"/>
  <c r="M33" i="4"/>
  <c r="P32" i="4"/>
  <c r="O32" i="4"/>
  <c r="N32" i="4"/>
  <c r="M32" i="4"/>
  <c r="P31" i="4"/>
  <c r="O31" i="4"/>
  <c r="N31" i="4"/>
  <c r="M31" i="4"/>
  <c r="P30" i="4"/>
  <c r="O30" i="4"/>
  <c r="N30" i="4"/>
  <c r="M30" i="4"/>
  <c r="P29" i="4"/>
  <c r="O29" i="4"/>
  <c r="N29" i="4"/>
  <c r="M29" i="4"/>
  <c r="P28" i="4"/>
  <c r="O28" i="4"/>
  <c r="N28" i="4"/>
  <c r="M28" i="4"/>
  <c r="P27" i="4"/>
  <c r="O27" i="4"/>
  <c r="N27" i="4"/>
  <c r="M27" i="4"/>
  <c r="P26" i="4"/>
  <c r="O26" i="4"/>
  <c r="N26" i="4"/>
  <c r="M26" i="4"/>
  <c r="P25" i="4"/>
  <c r="O25" i="4"/>
  <c r="N25" i="4"/>
  <c r="M25" i="4"/>
  <c r="P24" i="4"/>
  <c r="O24" i="4"/>
  <c r="N24" i="4"/>
  <c r="M24" i="4"/>
  <c r="P23" i="4"/>
  <c r="O23" i="4"/>
  <c r="N23" i="4"/>
  <c r="M23" i="4"/>
  <c r="P22" i="4"/>
  <c r="O22" i="4"/>
  <c r="N22" i="4"/>
  <c r="M22" i="4"/>
  <c r="P21" i="4"/>
  <c r="O21" i="4"/>
  <c r="N21" i="4"/>
  <c r="M21" i="4"/>
  <c r="P20" i="4"/>
  <c r="O20" i="4"/>
  <c r="N20" i="4"/>
  <c r="M20" i="4"/>
  <c r="P19" i="4"/>
  <c r="O19" i="4"/>
  <c r="N19" i="4"/>
  <c r="M19" i="4"/>
  <c r="P18" i="4"/>
  <c r="O18" i="4"/>
  <c r="N18" i="4"/>
  <c r="M18" i="4"/>
  <c r="P17" i="4"/>
  <c r="O17" i="4"/>
  <c r="N17" i="4"/>
  <c r="M17" i="4"/>
  <c r="P16" i="4"/>
  <c r="O16" i="4"/>
  <c r="N16" i="4"/>
  <c r="M16" i="4"/>
  <c r="P15" i="4"/>
  <c r="O15" i="4"/>
  <c r="N15" i="4"/>
  <c r="M15" i="4"/>
  <c r="P14" i="4"/>
  <c r="O14" i="4"/>
  <c r="N14" i="4"/>
  <c r="M14" i="4"/>
  <c r="P13" i="4"/>
  <c r="O13" i="4"/>
  <c r="N13" i="4"/>
  <c r="M13" i="4"/>
  <c r="P12" i="4"/>
  <c r="O12" i="4"/>
  <c r="N12" i="4"/>
  <c r="M12" i="4"/>
  <c r="P11" i="4"/>
  <c r="O11" i="4"/>
  <c r="N11" i="4"/>
  <c r="M11" i="4"/>
  <c r="P10" i="4"/>
  <c r="O10" i="4"/>
  <c r="N10" i="4"/>
  <c r="M10" i="4"/>
  <c r="P9" i="4"/>
  <c r="O9" i="4"/>
  <c r="N9" i="4"/>
  <c r="M9" i="4"/>
  <c r="P8" i="4"/>
  <c r="O8" i="4"/>
  <c r="N8" i="4"/>
  <c r="M8" i="4"/>
  <c r="P7" i="4"/>
  <c r="O7" i="4"/>
  <c r="N7" i="4"/>
  <c r="M7" i="4"/>
  <c r="P6" i="4"/>
  <c r="O6" i="4"/>
  <c r="N6" i="4"/>
  <c r="M6" i="4"/>
  <c r="P5" i="4"/>
  <c r="O5" i="4"/>
  <c r="N5" i="4"/>
  <c r="M5" i="4"/>
  <c r="P4" i="4"/>
  <c r="O4" i="4"/>
  <c r="N4" i="4"/>
  <c r="M4" i="4"/>
  <c r="P3" i="4"/>
  <c r="O3" i="4"/>
  <c r="N3" i="4"/>
  <c r="M3" i="4"/>
</calcChain>
</file>

<file path=xl/sharedStrings.xml><?xml version="1.0" encoding="utf-8"?>
<sst xmlns="http://schemas.openxmlformats.org/spreadsheetml/2006/main" count="268" uniqueCount="100">
  <si>
    <t>Group</t>
  </si>
  <si>
    <t>A</t>
  </si>
  <si>
    <t>B</t>
  </si>
  <si>
    <t>C</t>
  </si>
  <si>
    <t>D</t>
  </si>
  <si>
    <t>E</t>
  </si>
  <si>
    <t>F</t>
  </si>
  <si>
    <t>G</t>
  </si>
  <si>
    <t>H</t>
  </si>
  <si>
    <t>I</t>
  </si>
  <si>
    <t>J</t>
  </si>
  <si>
    <t>K</t>
  </si>
  <si>
    <t>L</t>
  </si>
  <si>
    <t>Grand Total</t>
  </si>
  <si>
    <t>Sum of GF</t>
  </si>
  <si>
    <t>Sum of GA</t>
  </si>
  <si>
    <t>Argentina</t>
  </si>
  <si>
    <t>Belgium</t>
  </si>
  <si>
    <t>Brazil</t>
  </si>
  <si>
    <t>Colombia</t>
  </si>
  <si>
    <t>England</t>
  </si>
  <si>
    <t>France</t>
  </si>
  <si>
    <t>Mexico</t>
  </si>
  <si>
    <t>Morocco</t>
  </si>
  <si>
    <t>Norway</t>
  </si>
  <si>
    <t>Spain</t>
  </si>
  <si>
    <t>Switzerland</t>
  </si>
  <si>
    <t>United States</t>
  </si>
  <si>
    <t xml:space="preserve">FIFA World Cup 2026 - Final Tournament Standings </t>
  </si>
  <si>
    <t>Rank</t>
  </si>
  <si>
    <t>Team</t>
  </si>
  <si>
    <t>Played</t>
  </si>
  <si>
    <t>Wins</t>
  </si>
  <si>
    <t>Draws</t>
  </si>
  <si>
    <t>Losses</t>
  </si>
  <si>
    <t>GF</t>
  </si>
  <si>
    <t>GA</t>
  </si>
  <si>
    <t>GD</t>
  </si>
  <si>
    <t>Points</t>
  </si>
  <si>
    <t>Tournament Result</t>
  </si>
  <si>
    <t>Goal Efficiency</t>
  </si>
  <si>
    <t>Win %</t>
  </si>
  <si>
    <t>Attack</t>
  </si>
  <si>
    <t>Defense</t>
  </si>
  <si>
    <t>Champion</t>
  </si>
  <si>
    <t>Runner-up</t>
  </si>
  <si>
    <t>Third place</t>
  </si>
  <si>
    <t>Fourth place</t>
  </si>
  <si>
    <t>Quarter Finals</t>
  </si>
  <si>
    <t>Eliminated in round of 16</t>
  </si>
  <si>
    <t>Portugal</t>
  </si>
  <si>
    <t>Canada</t>
  </si>
  <si>
    <t>Egypt</t>
  </si>
  <si>
    <t>Paraguay</t>
  </si>
  <si>
    <t>Netherlands</t>
  </si>
  <si>
    <t>Eliminated in round of 32</t>
  </si>
  <si>
    <t>Germany</t>
  </si>
  <si>
    <t>Ivory Coast</t>
  </si>
  <si>
    <t>Croatia</t>
  </si>
  <si>
    <t>Japan</t>
  </si>
  <si>
    <t>Australia</t>
  </si>
  <si>
    <t>DR Congo</t>
  </si>
  <si>
    <t>Ghana</t>
  </si>
  <si>
    <t>Ecuador</t>
  </si>
  <si>
    <t>South Africa</t>
  </si>
  <si>
    <t>Sweden</t>
  </si>
  <si>
    <t>Austria</t>
  </si>
  <si>
    <t>Bosnia and Herzegovina</t>
  </si>
  <si>
    <t>Algeria</t>
  </si>
  <si>
    <t>Senegal</t>
  </si>
  <si>
    <t>Cape Verde</t>
  </si>
  <si>
    <t>Iran</t>
  </si>
  <si>
    <t>Eliminated in group stage</t>
  </si>
  <si>
    <t>South Korea</t>
  </si>
  <si>
    <t>Turkey</t>
  </si>
  <si>
    <t>Scotland</t>
  </si>
  <si>
    <t>Uruguay</t>
  </si>
  <si>
    <t>Saudi Arabia</t>
  </si>
  <si>
    <t>Czech Republic</t>
  </si>
  <si>
    <t>New Zealand</t>
  </si>
  <si>
    <t>Qatar</t>
  </si>
  <si>
    <t>Curacao</t>
  </si>
  <si>
    <t>Panama</t>
  </si>
  <si>
    <t>Jordan</t>
  </si>
  <si>
    <t>Haiti</t>
  </si>
  <si>
    <t>Uzbekistan</t>
  </si>
  <si>
    <t>Tunisia</t>
  </si>
  <si>
    <t>Iraq</t>
  </si>
  <si>
    <t>Row Labels</t>
  </si>
  <si>
    <t>Sum of Points</t>
  </si>
  <si>
    <t xml:space="preserve">TOP 10 TEAMS </t>
  </si>
  <si>
    <t>TOURNAMENT RESULT DISTRIBUTION</t>
  </si>
  <si>
    <t>Count of Tournament Result</t>
  </si>
  <si>
    <t>POINTS BY GROUP</t>
  </si>
  <si>
    <t>GOALS FOR VS GOALS AGAINST</t>
  </si>
  <si>
    <t>TOP 5 TEAMS</t>
  </si>
  <si>
    <t>FILTERS(SLICERS)</t>
  </si>
  <si>
    <t>Sum of Played</t>
  </si>
  <si>
    <t>Sum of Wins</t>
  </si>
  <si>
    <t>🏆                                            FIFA WORLD CUP 2026 DASHBOARD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</si>
</sst>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8" x14ac:knownFonts="1">
    <font>
      <sz val="11"/>
      <color theme="1"/>
      <name val="Calibri"/>
      <family val="2"/>
      <scheme val="minor"/>
    </font>
    <font>
      <b/>
      <sz val="16"/>
      <color rgb="FFFFFFFF"/>
      <name val="Calibri"/>
    </font>
    <font>
      <b/>
      <sz val="11"/>
      <color rgb="FFFFFFFF"/>
      <name val="Calibri"/>
    </font>
    <font>
      <b/>
      <sz val="11"/>
      <color rgb="FFFFFFFF"/>
      <name val="Calibri"/>
      <family val="2"/>
    </font>
    <font>
      <sz val="11"/>
      <color theme="1"/>
      <name val="Calibri"/>
      <family val="2"/>
      <scheme val="minor"/>
    </font>
    <font>
      <sz val="11"/>
      <color theme="0"/>
      <name val="Calibri"/>
      <family val="2"/>
      <scheme val="minor"/>
    </font>
    <font>
      <b/>
      <sz val="11"/>
      <color theme="0"/>
      <name val="Calibri"/>
      <family val="2"/>
      <scheme val="minor"/>
    </font>
    <font>
      <b/>
      <sz val="26"/>
      <color theme="0"/>
      <name val="Calibri"/>
      <family val="2"/>
      <scheme val="minor"/>
    </font>
  </fonts>
  <fills count="7">
    <fill>
      <patternFill patternType="none"/>
    </fill>
    <fill>
      <patternFill patternType="gray125"/>
    </fill>
    <fill>
      <patternFill patternType="solid">
        <fgColor rgb="FF107C41"/>
      </patternFill>
    </fill>
    <fill>
      <patternFill patternType="solid">
        <fgColor rgb="FF008000"/>
        <bgColor indexed="64"/>
      </patternFill>
    </fill>
    <fill>
      <patternFill patternType="solid">
        <fgColor rgb="FF003399"/>
        <bgColor indexed="64"/>
      </patternFill>
    </fill>
    <fill>
      <patternFill patternType="solid">
        <fgColor rgb="FF002060"/>
        <bgColor indexed="64"/>
      </patternFill>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4" fillId="0" borderId="0"/>
  </cellStyleXfs>
  <cellXfs count="25">
    <xf numFmtId="0" fontId="0" fillId="0" borderId="0" xfId="0"/>
    <xf numFmtId="0" fontId="2" fillId="2" borderId="0" xfId="0" applyFont="1" applyFill="1" applyAlignment="1">
      <alignment horizontal="center"/>
    </xf>
    <xf numFmtId="0" fontId="3" fillId="2" borderId="0" xfId="0" applyFont="1" applyFill="1" applyAlignment="1">
      <alignment horizontal="center"/>
    </xf>
    <xf numFmtId="0" fontId="0" fillId="4" borderId="0" xfId="0" applyFill="1"/>
    <xf numFmtId="0" fontId="5" fillId="4" borderId="0" xfId="0" applyFont="1" applyFill="1"/>
    <xf numFmtId="0" fontId="0" fillId="3" borderId="0" xfId="0" applyFill="1"/>
    <xf numFmtId="0" fontId="0" fillId="3" borderId="0" xfId="0" applyFill="1" applyAlignment="1">
      <alignment horizontal="center"/>
    </xf>
    <xf numFmtId="9" fontId="0" fillId="0" borderId="0" xfId="1" applyFont="1"/>
    <xf numFmtId="9" fontId="5" fillId="3" borderId="0" xfId="1" applyFont="1" applyFill="1" applyAlignment="1">
      <alignment horizontal="center"/>
    </xf>
    <xf numFmtId="0" fontId="0" fillId="0" borderId="0" xfId="0" applyAlignment="1">
      <alignment horizontal="left"/>
    </xf>
    <xf numFmtId="0" fontId="0" fillId="0" borderId="0" xfId="0" applyAlignment="1">
      <alignment horizontal="center"/>
    </xf>
    <xf numFmtId="9" fontId="0" fillId="0" borderId="0" xfId="1" applyFont="1" applyAlignment="1">
      <alignment horizontal="center"/>
    </xf>
    <xf numFmtId="164" fontId="0" fillId="0" borderId="0" xfId="0" applyNumberFormat="1"/>
    <xf numFmtId="0" fontId="0" fillId="0" borderId="0" xfId="0" pivotButton="1"/>
    <xf numFmtId="0" fontId="0" fillId="5" borderId="0" xfId="0" applyFill="1"/>
    <xf numFmtId="0" fontId="6" fillId="5" borderId="0" xfId="0" applyFont="1" applyFill="1"/>
    <xf numFmtId="0" fontId="0" fillId="6" borderId="1" xfId="0" applyFill="1" applyBorder="1" applyAlignment="1">
      <alignment horizontal="center"/>
    </xf>
    <xf numFmtId="0" fontId="0" fillId="0" borderId="1" xfId="0" applyBorder="1" applyAlignment="1">
      <alignment horizontal="center"/>
    </xf>
    <xf numFmtId="0" fontId="0" fillId="0" borderId="1" xfId="0" applyBorder="1" applyAlignment="1">
      <alignment horizontal="left"/>
    </xf>
    <xf numFmtId="0" fontId="1" fillId="4" borderId="0" xfId="0" applyFont="1" applyFill="1" applyAlignment="1">
      <alignment horizontal="center"/>
    </xf>
    <xf numFmtId="0" fontId="0" fillId="0" borderId="0" xfId="0"/>
    <xf numFmtId="0" fontId="6" fillId="5" borderId="0" xfId="0" applyFont="1" applyFill="1" applyAlignment="1">
      <alignment horizontal="center"/>
    </xf>
    <xf numFmtId="0" fontId="0" fillId="5" borderId="0" xfId="0" applyFill="1" applyAlignment="1">
      <alignment horizontal="center"/>
    </xf>
    <xf numFmtId="0" fontId="7" fillId="5" borderId="0" xfId="0" applyFont="1" applyFill="1" applyAlignment="1">
      <alignment horizontal="center"/>
    </xf>
    <xf numFmtId="0" fontId="5" fillId="5" borderId="0" xfId="0" applyFont="1" applyFill="1" applyAlignment="1">
      <alignment horizontal="center"/>
    </xf>
  </cellXfs>
  <cellStyles count="2">
    <cellStyle name="Normal" xfId="0" builtinId="0"/>
    <cellStyle name="Percent" xfId="1" builtinId="5"/>
  </cellStyles>
  <dxfs count="4">
    <dxf>
      <numFmt numFmtId="0" formatCode="General"/>
    </dxf>
    <dxf>
      <numFmt numFmtId="0" formatCode="General"/>
    </dxf>
    <dxf>
      <numFmt numFmtId="164" formatCode="0.0"/>
    </dxf>
    <dxf>
      <fill>
        <patternFill>
          <fgColor theme="4" tint="0.39994506668294322"/>
          <bgColor rgb="FF00B050"/>
        </patternFill>
      </fill>
    </dxf>
  </dxfs>
  <tableStyles count="1" defaultTableStyle="TableStyleMedium2" defaultPivotStyle="PivotStyleLight16">
    <tableStyle name="Table Style 1" pivot="0" count="1" xr9:uid="{00000000-0011-0000-FFFF-FFFF00000000}">
      <tableStyleElement type="lastColumn" dxfId="3"/>
    </tableStyle>
  </tableStyles>
  <colors>
    <mruColors>
      <color rgb="FFB2B2B2"/>
      <color rgb="FFCC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[FIFA_World_Cup_2026_Final_Standings.xlsx]Pivot Tables!PivotTable1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Teams by Points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Tables'!$A$4:$A$13</c:f>
              <c:strCache>
                <c:ptCount val="10"/>
                <c:pt idx="0">
                  <c:v>Spain</c:v>
                </c:pt>
                <c:pt idx="1">
                  <c:v>Argentina</c:v>
                </c:pt>
                <c:pt idx="2">
                  <c:v>England</c:v>
                </c:pt>
                <c:pt idx="3">
                  <c:v>France</c:v>
                </c:pt>
                <c:pt idx="4">
                  <c:v>Norway</c:v>
                </c:pt>
                <c:pt idx="5">
                  <c:v>Mexico</c:v>
                </c:pt>
                <c:pt idx="6">
                  <c:v>Belgium</c:v>
                </c:pt>
                <c:pt idx="7">
                  <c:v>Switzerland</c:v>
                </c:pt>
                <c:pt idx="8">
                  <c:v>Colombia</c:v>
                </c:pt>
                <c:pt idx="9">
                  <c:v>Morocco</c:v>
                </c:pt>
              </c:strCache>
            </c:strRef>
          </c:cat>
          <c:val>
            <c:numRef>
              <c:f>'Pivot Tables'!$B$4:$B$13</c:f>
              <c:numCache>
                <c:formatCode>General</c:formatCode>
                <c:ptCount val="10"/>
                <c:pt idx="0">
                  <c:v>22</c:v>
                </c:pt>
                <c:pt idx="1">
                  <c:v>21</c:v>
                </c:pt>
                <c:pt idx="2">
                  <c:v>19</c:v>
                </c:pt>
                <c:pt idx="3">
                  <c:v>18</c:v>
                </c:pt>
                <c:pt idx="4">
                  <c:v>12</c:v>
                </c:pt>
                <c:pt idx="5">
                  <c:v>12</c:v>
                </c:pt>
                <c:pt idx="6">
                  <c:v>11</c:v>
                </c:pt>
                <c:pt idx="7">
                  <c:v>11</c:v>
                </c:pt>
                <c:pt idx="8">
                  <c:v>11</c:v>
                </c:pt>
                <c:pt idx="9">
                  <c:v>11</c:v>
                </c:pt>
              </c:numCache>
            </c:numRef>
          </c:val>
          <c:extLst>
            <c:ext xmlns:c16="http://schemas.microsoft.com/office/drawing/2014/chart" uri="{C3380CC4-5D6E-409C-BE32-E72D297353CC}">
              <c16:uniqueId val="{00000000-8EE8-4739-9BF4-561FAA61C2AB}"/>
            </c:ext>
          </c:extLst>
        </c:ser>
        <c:dLbls>
          <c:dLblPos val="outEnd"/>
          <c:showLegendKey val="0"/>
          <c:showVal val="1"/>
          <c:showCatName val="0"/>
          <c:showSerName val="0"/>
          <c:showPercent val="0"/>
          <c:showBubbleSize val="0"/>
        </c:dLbls>
        <c:gapWidth val="182"/>
        <c:axId val="598467503"/>
        <c:axId val="740179263"/>
      </c:barChart>
      <c:catAx>
        <c:axId val="598467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179263"/>
        <c:crosses val="autoZero"/>
        <c:auto val="1"/>
        <c:lblAlgn val="ctr"/>
        <c:lblOffset val="100"/>
        <c:noMultiLvlLbl val="0"/>
      </c:catAx>
      <c:valAx>
        <c:axId val="7401792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467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[FIFA_World_Cup_2026_Final_Standings.xlsx]Pivot Tables!PivotTable2</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s>
    <c:plotArea>
      <c:layout/>
      <c:doughnutChart>
        <c:varyColors val="1"/>
        <c:ser>
          <c:idx val="0"/>
          <c:order val="0"/>
          <c:tx>
            <c:strRef>
              <c:f>'Pivot Tables'!$B$16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6CA-447B-B4B2-B93FD7F65A7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6CA-447B-B4B2-B93FD7F65A7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6CA-447B-B4B2-B93FD7F65A7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6CA-447B-B4B2-B93FD7F65A7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6CA-447B-B4B2-B93FD7F65A7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6CA-447B-B4B2-B93FD7F65A7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6CA-447B-B4B2-B93FD7F65A7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6CA-447B-B4B2-B93FD7F65A7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Tables'!$A$17:$A$25</c:f>
              <c:strCache>
                <c:ptCount val="8"/>
                <c:pt idx="0">
                  <c:v>Champion</c:v>
                </c:pt>
                <c:pt idx="1">
                  <c:v>Eliminated in group stage</c:v>
                </c:pt>
                <c:pt idx="2">
                  <c:v>Eliminated in round of 16</c:v>
                </c:pt>
                <c:pt idx="3">
                  <c:v>Eliminated in round of 32</c:v>
                </c:pt>
                <c:pt idx="4">
                  <c:v>Fourth place</c:v>
                </c:pt>
                <c:pt idx="5">
                  <c:v>Quarter Finals</c:v>
                </c:pt>
                <c:pt idx="6">
                  <c:v>Runner-up</c:v>
                </c:pt>
                <c:pt idx="7">
                  <c:v>Third place</c:v>
                </c:pt>
              </c:strCache>
            </c:strRef>
          </c:cat>
          <c:val>
            <c:numRef>
              <c:f>'Pivot Tables'!$B$17:$B$25</c:f>
              <c:numCache>
                <c:formatCode>General</c:formatCode>
                <c:ptCount val="8"/>
                <c:pt idx="0">
                  <c:v>1</c:v>
                </c:pt>
                <c:pt idx="1">
                  <c:v>16</c:v>
                </c:pt>
                <c:pt idx="2">
                  <c:v>8</c:v>
                </c:pt>
                <c:pt idx="3">
                  <c:v>16</c:v>
                </c:pt>
                <c:pt idx="4">
                  <c:v>1</c:v>
                </c:pt>
                <c:pt idx="5">
                  <c:v>4</c:v>
                </c:pt>
                <c:pt idx="6">
                  <c:v>1</c:v>
                </c:pt>
                <c:pt idx="7">
                  <c:v>1</c:v>
                </c:pt>
              </c:numCache>
            </c:numRef>
          </c:val>
          <c:extLst>
            <c:ext xmlns:c16="http://schemas.microsoft.com/office/drawing/2014/chart" uri="{C3380CC4-5D6E-409C-BE32-E72D297353CC}">
              <c16:uniqueId val="{00000010-46CA-447B-B4B2-B93FD7F65A7F}"/>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r"/>
      <c:overlay val="0"/>
      <c:spPr>
        <a:noFill/>
        <a:ln>
          <a:noFill/>
        </a:ln>
        <a:effectLst/>
      </c:spPr>
      <c:txPr>
        <a:bodyPr rot="0" spcFirstLastPara="1" vertOverflow="ellipsis" vert="horz" wrap="square" anchor="ctr" anchorCtr="0"/>
        <a:lstStyle/>
        <a:p>
          <a:pPr>
            <a:defRPr sz="900" b="0" i="0" u="none" strike="noStrike" kern="1200" baseline="0">
              <a:solidFill>
                <a:schemeClr val="tx1">
                  <a:alpha val="8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[FIFA_World_Cup_2026_Final_Standings.xlsx]Pivot Tables!PivotTable8</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Tables'!$D$4:$D$16</c:f>
              <c:strCache>
                <c:ptCount val="12"/>
                <c:pt idx="0">
                  <c:v>A</c:v>
                </c:pt>
                <c:pt idx="1">
                  <c:v>B</c:v>
                </c:pt>
                <c:pt idx="2">
                  <c:v>C</c:v>
                </c:pt>
                <c:pt idx="3">
                  <c:v>D</c:v>
                </c:pt>
                <c:pt idx="4">
                  <c:v>E</c:v>
                </c:pt>
                <c:pt idx="5">
                  <c:v>F</c:v>
                </c:pt>
                <c:pt idx="6">
                  <c:v>G</c:v>
                </c:pt>
                <c:pt idx="7">
                  <c:v>H</c:v>
                </c:pt>
                <c:pt idx="8">
                  <c:v>I</c:v>
                </c:pt>
                <c:pt idx="9">
                  <c:v>J</c:v>
                </c:pt>
                <c:pt idx="10">
                  <c:v>K</c:v>
                </c:pt>
                <c:pt idx="11">
                  <c:v>L</c:v>
                </c:pt>
              </c:strCache>
            </c:strRef>
          </c:cat>
          <c:val>
            <c:numRef>
              <c:f>'Pivot Tables'!$E$4:$E$16</c:f>
              <c:numCache>
                <c:formatCode>General</c:formatCode>
                <c:ptCount val="12"/>
                <c:pt idx="0">
                  <c:v>20</c:v>
                </c:pt>
                <c:pt idx="1">
                  <c:v>23</c:v>
                </c:pt>
                <c:pt idx="2">
                  <c:v>24</c:v>
                </c:pt>
                <c:pt idx="3">
                  <c:v>22</c:v>
                </c:pt>
                <c:pt idx="4">
                  <c:v>18</c:v>
                </c:pt>
                <c:pt idx="5">
                  <c:v>17</c:v>
                </c:pt>
                <c:pt idx="6">
                  <c:v>21</c:v>
                </c:pt>
                <c:pt idx="7">
                  <c:v>29</c:v>
                </c:pt>
                <c:pt idx="8">
                  <c:v>33</c:v>
                </c:pt>
                <c:pt idx="9">
                  <c:v>29</c:v>
                </c:pt>
                <c:pt idx="10">
                  <c:v>23</c:v>
                </c:pt>
                <c:pt idx="11">
                  <c:v>29</c:v>
                </c:pt>
              </c:numCache>
            </c:numRef>
          </c:val>
          <c:extLst>
            <c:ext xmlns:c16="http://schemas.microsoft.com/office/drawing/2014/chart" uri="{C3380CC4-5D6E-409C-BE32-E72D297353CC}">
              <c16:uniqueId val="{00000000-546E-4F58-B707-F1404805EB39}"/>
            </c:ext>
          </c:extLst>
        </c:ser>
        <c:dLbls>
          <c:dLblPos val="outEnd"/>
          <c:showLegendKey val="0"/>
          <c:showVal val="1"/>
          <c:showCatName val="0"/>
          <c:showSerName val="0"/>
          <c:showPercent val="0"/>
          <c:showBubbleSize val="0"/>
        </c:dLbls>
        <c:gapWidth val="219"/>
        <c:overlap val="-27"/>
        <c:axId val="959953263"/>
        <c:axId val="498392319"/>
      </c:barChart>
      <c:catAx>
        <c:axId val="9599532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Groups</a:t>
                </a:r>
              </a:p>
            </c:rich>
          </c:tx>
          <c:layout>
            <c:manualLayout>
              <c:xMode val="edge"/>
              <c:yMode val="edge"/>
              <c:x val="0.43983902012248466"/>
              <c:y val="0.8925692621755614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392319"/>
        <c:crosses val="autoZero"/>
        <c:auto val="1"/>
        <c:lblAlgn val="ctr"/>
        <c:lblOffset val="100"/>
        <c:noMultiLvlLbl val="0"/>
      </c:catAx>
      <c:valAx>
        <c:axId val="49839231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Points</a:t>
                </a:r>
              </a:p>
            </c:rich>
          </c:tx>
          <c:layout>
            <c:manualLayout>
              <c:xMode val="edge"/>
              <c:yMode val="edge"/>
              <c:x val="1.9444444444444445E-2"/>
              <c:y val="0.3966356809565471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953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[FIFA_World_Cup_2026_Final_Standings.xlsx]Pivot Tables!PivotTable10</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Tables'!$H$3</c:f>
              <c:strCache>
                <c:ptCount val="1"/>
                <c:pt idx="0">
                  <c:v>Sum of GF</c:v>
                </c:pt>
              </c:strCache>
            </c:strRef>
          </c:tx>
          <c:spPr>
            <a:solidFill>
              <a:schemeClr val="accent1"/>
            </a:solidFill>
            <a:ln>
              <a:noFill/>
            </a:ln>
            <a:effectLst/>
          </c:spPr>
          <c:invertIfNegative val="0"/>
          <c:cat>
            <c:strRef>
              <c:f>'Pivot Tables'!$G$4:$G$16</c:f>
              <c:strCache>
                <c:ptCount val="12"/>
                <c:pt idx="0">
                  <c:v>Argentina</c:v>
                </c:pt>
                <c:pt idx="1">
                  <c:v>Belgium</c:v>
                </c:pt>
                <c:pt idx="2">
                  <c:v>England</c:v>
                </c:pt>
                <c:pt idx="3">
                  <c:v>France</c:v>
                </c:pt>
                <c:pt idx="4">
                  <c:v>Germany</c:v>
                </c:pt>
                <c:pt idx="5">
                  <c:v>Iraq</c:v>
                </c:pt>
                <c:pt idx="6">
                  <c:v>Netherlands</c:v>
                </c:pt>
                <c:pt idx="7">
                  <c:v>Norway</c:v>
                </c:pt>
                <c:pt idx="8">
                  <c:v>Spain</c:v>
                </c:pt>
                <c:pt idx="9">
                  <c:v>Tunisia</c:v>
                </c:pt>
                <c:pt idx="10">
                  <c:v>United States</c:v>
                </c:pt>
                <c:pt idx="11">
                  <c:v>Uzbekistan</c:v>
                </c:pt>
              </c:strCache>
            </c:strRef>
          </c:cat>
          <c:val>
            <c:numRef>
              <c:f>'Pivot Tables'!$H$4:$H$16</c:f>
              <c:numCache>
                <c:formatCode>General</c:formatCode>
                <c:ptCount val="12"/>
                <c:pt idx="0">
                  <c:v>19</c:v>
                </c:pt>
                <c:pt idx="1">
                  <c:v>14</c:v>
                </c:pt>
                <c:pt idx="2">
                  <c:v>20</c:v>
                </c:pt>
                <c:pt idx="3">
                  <c:v>20</c:v>
                </c:pt>
                <c:pt idx="4">
                  <c:v>11</c:v>
                </c:pt>
                <c:pt idx="5">
                  <c:v>12</c:v>
                </c:pt>
                <c:pt idx="6">
                  <c:v>11</c:v>
                </c:pt>
                <c:pt idx="7">
                  <c:v>13</c:v>
                </c:pt>
                <c:pt idx="8">
                  <c:v>14</c:v>
                </c:pt>
                <c:pt idx="9">
                  <c:v>12</c:v>
                </c:pt>
                <c:pt idx="10">
                  <c:v>11</c:v>
                </c:pt>
                <c:pt idx="11">
                  <c:v>11</c:v>
                </c:pt>
              </c:numCache>
            </c:numRef>
          </c:val>
          <c:extLst>
            <c:ext xmlns:c16="http://schemas.microsoft.com/office/drawing/2014/chart" uri="{C3380CC4-5D6E-409C-BE32-E72D297353CC}">
              <c16:uniqueId val="{00000000-8757-41AD-B508-1C0F6C8238B4}"/>
            </c:ext>
          </c:extLst>
        </c:ser>
        <c:ser>
          <c:idx val="1"/>
          <c:order val="1"/>
          <c:tx>
            <c:strRef>
              <c:f>'Pivot Tables'!$I$3</c:f>
              <c:strCache>
                <c:ptCount val="1"/>
                <c:pt idx="0">
                  <c:v>Sum of GA</c:v>
                </c:pt>
              </c:strCache>
            </c:strRef>
          </c:tx>
          <c:spPr>
            <a:solidFill>
              <a:schemeClr val="accent2"/>
            </a:solidFill>
            <a:ln>
              <a:noFill/>
            </a:ln>
            <a:effectLst/>
          </c:spPr>
          <c:invertIfNegative val="0"/>
          <c:cat>
            <c:strRef>
              <c:f>'Pivot Tables'!$G$4:$G$16</c:f>
              <c:strCache>
                <c:ptCount val="12"/>
                <c:pt idx="0">
                  <c:v>Argentina</c:v>
                </c:pt>
                <c:pt idx="1">
                  <c:v>Belgium</c:v>
                </c:pt>
                <c:pt idx="2">
                  <c:v>England</c:v>
                </c:pt>
                <c:pt idx="3">
                  <c:v>France</c:v>
                </c:pt>
                <c:pt idx="4">
                  <c:v>Germany</c:v>
                </c:pt>
                <c:pt idx="5">
                  <c:v>Iraq</c:v>
                </c:pt>
                <c:pt idx="6">
                  <c:v>Netherlands</c:v>
                </c:pt>
                <c:pt idx="7">
                  <c:v>Norway</c:v>
                </c:pt>
                <c:pt idx="8">
                  <c:v>Spain</c:v>
                </c:pt>
                <c:pt idx="9">
                  <c:v>Tunisia</c:v>
                </c:pt>
                <c:pt idx="10">
                  <c:v>United States</c:v>
                </c:pt>
                <c:pt idx="11">
                  <c:v>Uzbekistan</c:v>
                </c:pt>
              </c:strCache>
            </c:strRef>
          </c:cat>
          <c:val>
            <c:numRef>
              <c:f>'Pivot Tables'!$I$4:$I$16</c:f>
              <c:numCache>
                <c:formatCode>General</c:formatCode>
                <c:ptCount val="12"/>
                <c:pt idx="0">
                  <c:v>8</c:v>
                </c:pt>
                <c:pt idx="1">
                  <c:v>7</c:v>
                </c:pt>
                <c:pt idx="2">
                  <c:v>12</c:v>
                </c:pt>
                <c:pt idx="3">
                  <c:v>10</c:v>
                </c:pt>
                <c:pt idx="4">
                  <c:v>5</c:v>
                </c:pt>
                <c:pt idx="5">
                  <c:v>12</c:v>
                </c:pt>
                <c:pt idx="6">
                  <c:v>5</c:v>
                </c:pt>
                <c:pt idx="7">
                  <c:v>11</c:v>
                </c:pt>
                <c:pt idx="8">
                  <c:v>1</c:v>
                </c:pt>
                <c:pt idx="9">
                  <c:v>12</c:v>
                </c:pt>
                <c:pt idx="10">
                  <c:v>8</c:v>
                </c:pt>
                <c:pt idx="11">
                  <c:v>11</c:v>
                </c:pt>
              </c:numCache>
            </c:numRef>
          </c:val>
          <c:extLst>
            <c:ext xmlns:c16="http://schemas.microsoft.com/office/drawing/2014/chart" uri="{C3380CC4-5D6E-409C-BE32-E72D297353CC}">
              <c16:uniqueId val="{00000001-8757-41AD-B508-1C0F6C8238B4}"/>
            </c:ext>
          </c:extLst>
        </c:ser>
        <c:dLbls>
          <c:showLegendKey val="0"/>
          <c:showVal val="0"/>
          <c:showCatName val="0"/>
          <c:showSerName val="0"/>
          <c:showPercent val="0"/>
          <c:showBubbleSize val="0"/>
        </c:dLbls>
        <c:gapWidth val="219"/>
        <c:overlap val="-27"/>
        <c:axId val="1179092575"/>
        <c:axId val="1179098335"/>
      </c:barChart>
      <c:catAx>
        <c:axId val="1179092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098335"/>
        <c:crosses val="autoZero"/>
        <c:auto val="1"/>
        <c:lblAlgn val="ctr"/>
        <c:lblOffset val="100"/>
        <c:noMultiLvlLbl val="0"/>
      </c:catAx>
      <c:valAx>
        <c:axId val="11790983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092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51432</xdr:colOff>
      <xdr:row>4</xdr:row>
      <xdr:rowOff>29496</xdr:rowOff>
    </xdr:from>
    <xdr:to>
      <xdr:col>3</xdr:col>
      <xdr:colOff>352050</xdr:colOff>
      <xdr:row>8</xdr:row>
      <xdr:rowOff>151910</xdr:rowOff>
    </xdr:to>
    <xdr:sp macro="" textlink="">
      <xdr:nvSpPr>
        <xdr:cNvPr id="2" name="Rectangle: Rounded Corners 1">
          <a:extLst>
            <a:ext uri="{FF2B5EF4-FFF2-40B4-BE49-F238E27FC236}">
              <a16:creationId xmlns:a16="http://schemas.microsoft.com/office/drawing/2014/main" id="{55E19018-9D75-9240-66EE-A5A7C74DBF46}"/>
            </a:ext>
          </a:extLst>
        </xdr:cNvPr>
        <xdr:cNvSpPr/>
      </xdr:nvSpPr>
      <xdr:spPr>
        <a:xfrm>
          <a:off x="659411" y="775283"/>
          <a:ext cx="1516575" cy="868201"/>
        </a:xfrm>
        <a:prstGeom prst="roundRect">
          <a:avLst/>
        </a:prstGeom>
        <a:noFill/>
        <a:ln w="25400">
          <a:solidFill>
            <a:srgbClr val="002060">
              <a:alpha val="81000"/>
            </a:srgb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a:ln>
                <a:noFill/>
              </a:ln>
            </a:rPr>
            <a:t>🏆</a:t>
          </a:r>
          <a:r>
            <a:rPr lang="en-IN" sz="1100">
              <a:ln>
                <a:noFill/>
              </a:ln>
              <a:solidFill>
                <a:srgbClr val="002060"/>
              </a:solidFill>
            </a:rPr>
            <a:t>                           </a:t>
          </a:r>
        </a:p>
        <a:p>
          <a:pPr algn="l"/>
          <a:r>
            <a:rPr lang="en-IN" sz="1100">
              <a:ln>
                <a:noFill/>
              </a:ln>
              <a:solidFill>
                <a:srgbClr val="002060"/>
              </a:solidFill>
            </a:rPr>
            <a:t> </a:t>
          </a:r>
        </a:p>
      </xdr:txBody>
    </xdr:sp>
    <xdr:clientData/>
  </xdr:twoCellAnchor>
  <xdr:twoCellAnchor>
    <xdr:from>
      <xdr:col>5</xdr:col>
      <xdr:colOff>44961</xdr:colOff>
      <xdr:row>4</xdr:row>
      <xdr:rowOff>44005</xdr:rowOff>
    </xdr:from>
    <xdr:to>
      <xdr:col>7</xdr:col>
      <xdr:colOff>345919</xdr:colOff>
      <xdr:row>8</xdr:row>
      <xdr:rowOff>166419</xdr:rowOff>
    </xdr:to>
    <xdr:sp macro="" textlink="">
      <xdr:nvSpPr>
        <xdr:cNvPr id="3" name="Rectangle: Rounded Corners 2">
          <a:extLst>
            <a:ext uri="{FF2B5EF4-FFF2-40B4-BE49-F238E27FC236}">
              <a16:creationId xmlns:a16="http://schemas.microsoft.com/office/drawing/2014/main" id="{C0A7D318-4055-42DF-8975-7881B6ED84C9}"/>
            </a:ext>
          </a:extLst>
        </xdr:cNvPr>
        <xdr:cNvSpPr/>
      </xdr:nvSpPr>
      <xdr:spPr>
        <a:xfrm>
          <a:off x="3084855" y="789792"/>
          <a:ext cx="1516915" cy="868201"/>
        </a:xfrm>
        <a:prstGeom prst="roundRect">
          <a:avLst/>
        </a:prstGeom>
        <a:solidFill>
          <a:schemeClr val="bg1"/>
        </a:solidFill>
        <a:ln>
          <a:solidFill>
            <a:schemeClr val="tx2">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a:solidFill>
                <a:srgbClr val="002060"/>
              </a:solidFill>
            </a:rPr>
            <a:t>🤝</a:t>
          </a:r>
        </a:p>
      </xdr:txBody>
    </xdr:sp>
    <xdr:clientData/>
  </xdr:twoCellAnchor>
  <xdr:twoCellAnchor>
    <xdr:from>
      <xdr:col>9</xdr:col>
      <xdr:colOff>126909</xdr:colOff>
      <xdr:row>4</xdr:row>
      <xdr:rowOff>53815</xdr:rowOff>
    </xdr:from>
    <xdr:to>
      <xdr:col>11</xdr:col>
      <xdr:colOff>427527</xdr:colOff>
      <xdr:row>8</xdr:row>
      <xdr:rowOff>176229</xdr:rowOff>
    </xdr:to>
    <xdr:sp macro="" textlink="">
      <xdr:nvSpPr>
        <xdr:cNvPr id="4" name="Rectangle: Rounded Corners 3">
          <a:extLst>
            <a:ext uri="{FF2B5EF4-FFF2-40B4-BE49-F238E27FC236}">
              <a16:creationId xmlns:a16="http://schemas.microsoft.com/office/drawing/2014/main" id="{3E47D933-C3BE-4491-B6BC-B315B2018711}"/>
            </a:ext>
          </a:extLst>
        </xdr:cNvPr>
        <xdr:cNvSpPr/>
      </xdr:nvSpPr>
      <xdr:spPr>
        <a:xfrm>
          <a:off x="5598718" y="799602"/>
          <a:ext cx="1516575" cy="868201"/>
        </a:xfrm>
        <a:prstGeom prst="roundRect">
          <a:avLst/>
        </a:prstGeom>
        <a:solidFill>
          <a:schemeClr val="bg1"/>
        </a:solidFill>
        <a:ln>
          <a:solidFill>
            <a:schemeClr val="tx2">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a:t>⚽</a:t>
          </a:r>
          <a:endParaRPr lang="en-IN" sz="2400">
            <a:solidFill>
              <a:srgbClr val="002060"/>
            </a:solidFill>
          </a:endParaRPr>
        </a:p>
      </xdr:txBody>
    </xdr:sp>
    <xdr:clientData/>
  </xdr:twoCellAnchor>
  <xdr:twoCellAnchor>
    <xdr:from>
      <xdr:col>13</xdr:col>
      <xdr:colOff>248029</xdr:colOff>
      <xdr:row>4</xdr:row>
      <xdr:rowOff>65328</xdr:rowOff>
    </xdr:from>
    <xdr:to>
      <xdr:col>15</xdr:col>
      <xdr:colOff>548986</xdr:colOff>
      <xdr:row>9</xdr:row>
      <xdr:rowOff>1295</xdr:rowOff>
    </xdr:to>
    <xdr:sp macro="" textlink="">
      <xdr:nvSpPr>
        <xdr:cNvPr id="5" name="Rectangle: Rounded Corners 4">
          <a:extLst>
            <a:ext uri="{FF2B5EF4-FFF2-40B4-BE49-F238E27FC236}">
              <a16:creationId xmlns:a16="http://schemas.microsoft.com/office/drawing/2014/main" id="{D8DC86A8-F0F7-4C8E-A81E-CE7795C9CB27}"/>
            </a:ext>
          </a:extLst>
        </xdr:cNvPr>
        <xdr:cNvSpPr/>
      </xdr:nvSpPr>
      <xdr:spPr>
        <a:xfrm>
          <a:off x="8151752" y="811115"/>
          <a:ext cx="1516915" cy="868201"/>
        </a:xfrm>
        <a:prstGeom prst="roundRect">
          <a:avLst/>
        </a:prstGeom>
        <a:solidFill>
          <a:schemeClr val="bg1"/>
        </a:solidFill>
        <a:ln>
          <a:solidFill>
            <a:schemeClr val="tx2">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a:t>⭐</a:t>
          </a:r>
          <a:endParaRPr lang="en-IN" sz="2400">
            <a:solidFill>
              <a:srgbClr val="002060"/>
            </a:solidFill>
          </a:endParaRPr>
        </a:p>
      </xdr:txBody>
    </xdr:sp>
    <xdr:clientData/>
  </xdr:twoCellAnchor>
  <xdr:twoCellAnchor>
    <xdr:from>
      <xdr:col>17</xdr:col>
      <xdr:colOff>218109</xdr:colOff>
      <xdr:row>4</xdr:row>
      <xdr:rowOff>65060</xdr:rowOff>
    </xdr:from>
    <xdr:to>
      <xdr:col>19</xdr:col>
      <xdr:colOff>519066</xdr:colOff>
      <xdr:row>9</xdr:row>
      <xdr:rowOff>1027</xdr:rowOff>
    </xdr:to>
    <xdr:sp macro="" textlink="">
      <xdr:nvSpPr>
        <xdr:cNvPr id="6" name="Rectangle: Rounded Corners 5">
          <a:extLst>
            <a:ext uri="{FF2B5EF4-FFF2-40B4-BE49-F238E27FC236}">
              <a16:creationId xmlns:a16="http://schemas.microsoft.com/office/drawing/2014/main" id="{7472510F-8679-4BB7-8A13-EAE725C8A5CE}"/>
            </a:ext>
          </a:extLst>
        </xdr:cNvPr>
        <xdr:cNvSpPr/>
      </xdr:nvSpPr>
      <xdr:spPr>
        <a:xfrm>
          <a:off x="10553747" y="810847"/>
          <a:ext cx="1516915" cy="868201"/>
        </a:xfrm>
        <a:prstGeom prst="roundRect">
          <a:avLst/>
        </a:prstGeom>
        <a:solidFill>
          <a:schemeClr val="bg1"/>
        </a:solidFill>
        <a:ln>
          <a:solidFill>
            <a:schemeClr val="tx2">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a:t>📈</a:t>
          </a:r>
          <a:endParaRPr lang="en-IN" sz="2400">
            <a:solidFill>
              <a:srgbClr val="002060"/>
            </a:solidFill>
          </a:endParaRPr>
        </a:p>
      </xdr:txBody>
    </xdr:sp>
    <xdr:clientData/>
  </xdr:twoCellAnchor>
  <xdr:oneCellAnchor>
    <xdr:from>
      <xdr:col>1</xdr:col>
      <xdr:colOff>572352</xdr:colOff>
      <xdr:row>5</xdr:row>
      <xdr:rowOff>180110</xdr:rowOff>
    </xdr:from>
    <xdr:ext cx="768404" cy="342338"/>
    <xdr:sp macro="" textlink="">
      <xdr:nvSpPr>
        <xdr:cNvPr id="8" name="TextBox 7">
          <a:extLst>
            <a:ext uri="{FF2B5EF4-FFF2-40B4-BE49-F238E27FC236}">
              <a16:creationId xmlns:a16="http://schemas.microsoft.com/office/drawing/2014/main" id="{2AF605D0-783C-79F7-8EEF-A8B5513788E5}"/>
            </a:ext>
          </a:extLst>
        </xdr:cNvPr>
        <xdr:cNvSpPr txBox="1"/>
      </xdr:nvSpPr>
      <xdr:spPr>
        <a:xfrm>
          <a:off x="1180331" y="1112344"/>
          <a:ext cx="768404" cy="3423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800">
              <a:solidFill>
                <a:schemeClr val="accent3">
                  <a:lumMod val="50000"/>
                </a:schemeClr>
              </a:solidFill>
              <a:latin typeface="Tw Cen MT Condensed Extra Bold" panose="020B0803020202020204" pitchFamily="34" charset="0"/>
              <a:ea typeface="Cascadia Mono SemiBold" panose="020B0609020000020004" pitchFamily="49" charset="0"/>
              <a:cs typeface="Cascadia Mono SemiBold" panose="020B0609020000020004" pitchFamily="49" charset="0"/>
            </a:rPr>
            <a:t>SPAIN</a:t>
          </a:r>
        </a:p>
      </xdr:txBody>
    </xdr:sp>
    <xdr:clientData/>
  </xdr:oneCellAnchor>
  <xdr:twoCellAnchor>
    <xdr:from>
      <xdr:col>1</xdr:col>
      <xdr:colOff>559545</xdr:colOff>
      <xdr:row>4</xdr:row>
      <xdr:rowOff>174527</xdr:rowOff>
    </xdr:from>
    <xdr:to>
      <xdr:col>3</xdr:col>
      <xdr:colOff>213763</xdr:colOff>
      <xdr:row>6</xdr:row>
      <xdr:rowOff>58516</xdr:rowOff>
    </xdr:to>
    <xdr:sp macro="" textlink="">
      <xdr:nvSpPr>
        <xdr:cNvPr id="9" name="TextBox 8">
          <a:extLst>
            <a:ext uri="{FF2B5EF4-FFF2-40B4-BE49-F238E27FC236}">
              <a16:creationId xmlns:a16="http://schemas.microsoft.com/office/drawing/2014/main" id="{3B18DCFF-D3E5-0CD3-2826-099416C3255B}"/>
            </a:ext>
          </a:extLst>
        </xdr:cNvPr>
        <xdr:cNvSpPr txBox="1"/>
      </xdr:nvSpPr>
      <xdr:spPr>
        <a:xfrm>
          <a:off x="1167524" y="920314"/>
          <a:ext cx="870175" cy="2568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n>
                <a:solidFill>
                  <a:schemeClr val="lt1">
                    <a:shade val="50000"/>
                    <a:alpha val="90000"/>
                  </a:schemeClr>
                </a:solidFill>
              </a:ln>
            </a:rPr>
            <a:t>CHAMPION</a:t>
          </a:r>
        </a:p>
      </xdr:txBody>
    </xdr:sp>
    <xdr:clientData/>
  </xdr:twoCellAnchor>
  <xdr:twoCellAnchor>
    <xdr:from>
      <xdr:col>5</xdr:col>
      <xdr:colOff>518467</xdr:colOff>
      <xdr:row>5</xdr:row>
      <xdr:rowOff>2179</xdr:rowOff>
    </xdr:from>
    <xdr:to>
      <xdr:col>7</xdr:col>
      <xdr:colOff>435225</xdr:colOff>
      <xdr:row>6</xdr:row>
      <xdr:rowOff>47002</xdr:rowOff>
    </xdr:to>
    <xdr:sp macro="" textlink="">
      <xdr:nvSpPr>
        <xdr:cNvPr id="10" name="TextBox 9">
          <a:extLst>
            <a:ext uri="{FF2B5EF4-FFF2-40B4-BE49-F238E27FC236}">
              <a16:creationId xmlns:a16="http://schemas.microsoft.com/office/drawing/2014/main" id="{21DFD1DF-F0E6-3419-C54E-840C98D21146}"/>
            </a:ext>
          </a:extLst>
        </xdr:cNvPr>
        <xdr:cNvSpPr txBox="1"/>
      </xdr:nvSpPr>
      <xdr:spPr>
        <a:xfrm>
          <a:off x="3558361" y="934413"/>
          <a:ext cx="1132715" cy="231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TOTAL TEAMS</a:t>
          </a:r>
        </a:p>
      </xdr:txBody>
    </xdr:sp>
    <xdr:clientData/>
  </xdr:twoCellAnchor>
  <xdr:oneCellAnchor>
    <xdr:from>
      <xdr:col>5</xdr:col>
      <xdr:colOff>288151</xdr:colOff>
      <xdr:row>7</xdr:row>
      <xdr:rowOff>12808</xdr:rowOff>
    </xdr:from>
    <xdr:ext cx="621126" cy="320168"/>
    <xdr:sp macro="" textlink="">
      <xdr:nvSpPr>
        <xdr:cNvPr id="11" name="TextBox 10">
          <a:extLst>
            <a:ext uri="{FF2B5EF4-FFF2-40B4-BE49-F238E27FC236}">
              <a16:creationId xmlns:a16="http://schemas.microsoft.com/office/drawing/2014/main" id="{18BB5CCD-95F3-E110-C305-9234ABAE49AB}"/>
            </a:ext>
          </a:extLst>
        </xdr:cNvPr>
        <xdr:cNvSpPr txBox="1"/>
      </xdr:nvSpPr>
      <xdr:spPr>
        <a:xfrm>
          <a:off x="3329748" y="1312690"/>
          <a:ext cx="621126" cy="3201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twoCellAnchor>
    <xdr:from>
      <xdr:col>6</xdr:col>
      <xdr:colOff>153818</xdr:colOff>
      <xdr:row>6</xdr:row>
      <xdr:rowOff>13284</xdr:rowOff>
    </xdr:from>
    <xdr:to>
      <xdr:col>6</xdr:col>
      <xdr:colOff>576098</xdr:colOff>
      <xdr:row>7</xdr:row>
      <xdr:rowOff>129293</xdr:rowOff>
    </xdr:to>
    <xdr:sp macro="" textlink="">
      <xdr:nvSpPr>
        <xdr:cNvPr id="12" name="TextBox 11">
          <a:extLst>
            <a:ext uri="{FF2B5EF4-FFF2-40B4-BE49-F238E27FC236}">
              <a16:creationId xmlns:a16="http://schemas.microsoft.com/office/drawing/2014/main" id="{5D227226-8A8F-A485-2223-EE41E19B1DDD}"/>
            </a:ext>
          </a:extLst>
        </xdr:cNvPr>
        <xdr:cNvSpPr txBox="1"/>
      </xdr:nvSpPr>
      <xdr:spPr>
        <a:xfrm>
          <a:off x="3801690" y="1131965"/>
          <a:ext cx="422280" cy="3024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chemeClr val="accent3">
                  <a:lumMod val="50000"/>
                </a:schemeClr>
              </a:solidFill>
              <a:latin typeface="Tw Cen MT Condensed Extra Bold" panose="020B0803020202020204" pitchFamily="34" charset="0"/>
            </a:rPr>
            <a:t>48</a:t>
          </a:r>
        </a:p>
      </xdr:txBody>
    </xdr:sp>
    <xdr:clientData/>
  </xdr:twoCellAnchor>
  <xdr:twoCellAnchor>
    <xdr:from>
      <xdr:col>9</xdr:col>
      <xdr:colOff>593604</xdr:colOff>
      <xdr:row>5</xdr:row>
      <xdr:rowOff>5585</xdr:rowOff>
    </xdr:from>
    <xdr:to>
      <xdr:col>11</xdr:col>
      <xdr:colOff>516764</xdr:colOff>
      <xdr:row>6</xdr:row>
      <xdr:rowOff>31198</xdr:rowOff>
    </xdr:to>
    <xdr:sp macro="" textlink="">
      <xdr:nvSpPr>
        <xdr:cNvPr id="13" name="TextBox 12">
          <a:extLst>
            <a:ext uri="{FF2B5EF4-FFF2-40B4-BE49-F238E27FC236}">
              <a16:creationId xmlns:a16="http://schemas.microsoft.com/office/drawing/2014/main" id="{858A461B-650E-F579-7BB8-67C2DD74D6FC}"/>
            </a:ext>
          </a:extLst>
        </xdr:cNvPr>
        <xdr:cNvSpPr txBox="1"/>
      </xdr:nvSpPr>
      <xdr:spPr>
        <a:xfrm>
          <a:off x="6065413" y="937819"/>
          <a:ext cx="1139117" cy="212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TOTAL GOALS</a:t>
          </a:r>
        </a:p>
      </xdr:txBody>
    </xdr:sp>
    <xdr:clientData/>
  </xdr:twoCellAnchor>
  <xdr:twoCellAnchor>
    <xdr:from>
      <xdr:col>10</xdr:col>
      <xdr:colOff>183246</xdr:colOff>
      <xdr:row>6</xdr:row>
      <xdr:rowOff>5583</xdr:rowOff>
    </xdr:from>
    <xdr:to>
      <xdr:col>11</xdr:col>
      <xdr:colOff>247279</xdr:colOff>
      <xdr:row>7</xdr:row>
      <xdr:rowOff>140803</xdr:rowOff>
    </xdr:to>
    <xdr:sp macro="" textlink="">
      <xdr:nvSpPr>
        <xdr:cNvPr id="14" name="TextBox 13">
          <a:extLst>
            <a:ext uri="{FF2B5EF4-FFF2-40B4-BE49-F238E27FC236}">
              <a16:creationId xmlns:a16="http://schemas.microsoft.com/office/drawing/2014/main" id="{16793F62-F49A-148D-5EB7-B2D3B0587FCD}"/>
            </a:ext>
          </a:extLst>
        </xdr:cNvPr>
        <xdr:cNvSpPr txBox="1"/>
      </xdr:nvSpPr>
      <xdr:spPr>
        <a:xfrm>
          <a:off x="6263033" y="1124264"/>
          <a:ext cx="672012" cy="321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chemeClr val="accent3">
                  <a:lumMod val="50000"/>
                </a:schemeClr>
              </a:solidFill>
              <a:latin typeface="Tw Cen MT Condensed Extra Bold" panose="020B0803020202020204" pitchFamily="34" charset="0"/>
            </a:rPr>
            <a:t>432</a:t>
          </a:r>
        </a:p>
      </xdr:txBody>
    </xdr:sp>
    <xdr:clientData/>
  </xdr:twoCellAnchor>
  <xdr:twoCellAnchor>
    <xdr:from>
      <xdr:col>14</xdr:col>
      <xdr:colOff>106746</xdr:colOff>
      <xdr:row>4</xdr:row>
      <xdr:rowOff>168123</xdr:rowOff>
    </xdr:from>
    <xdr:to>
      <xdr:col>15</xdr:col>
      <xdr:colOff>548578</xdr:colOff>
      <xdr:row>6</xdr:row>
      <xdr:rowOff>13692</xdr:rowOff>
    </xdr:to>
    <xdr:sp macro="" textlink="">
      <xdr:nvSpPr>
        <xdr:cNvPr id="15" name="TextBox 14">
          <a:extLst>
            <a:ext uri="{FF2B5EF4-FFF2-40B4-BE49-F238E27FC236}">
              <a16:creationId xmlns:a16="http://schemas.microsoft.com/office/drawing/2014/main" id="{B6310861-BF6E-A37A-2DFD-94F1987732FD}"/>
            </a:ext>
          </a:extLst>
        </xdr:cNvPr>
        <xdr:cNvSpPr txBox="1"/>
      </xdr:nvSpPr>
      <xdr:spPr>
        <a:xfrm>
          <a:off x="8618448" y="913910"/>
          <a:ext cx="1049811" cy="2184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TOTAL POINTS</a:t>
          </a:r>
        </a:p>
      </xdr:txBody>
    </xdr:sp>
    <xdr:clientData/>
  </xdr:twoCellAnchor>
  <xdr:twoCellAnchor>
    <xdr:from>
      <xdr:col>14</xdr:col>
      <xdr:colOff>338152</xdr:colOff>
      <xdr:row>5</xdr:row>
      <xdr:rowOff>168122</xdr:rowOff>
    </xdr:from>
    <xdr:to>
      <xdr:col>15</xdr:col>
      <xdr:colOff>261311</xdr:colOff>
      <xdr:row>7</xdr:row>
      <xdr:rowOff>64919</xdr:rowOff>
    </xdr:to>
    <xdr:sp macro="" textlink="">
      <xdr:nvSpPr>
        <xdr:cNvPr id="16" name="TextBox 15">
          <a:extLst>
            <a:ext uri="{FF2B5EF4-FFF2-40B4-BE49-F238E27FC236}">
              <a16:creationId xmlns:a16="http://schemas.microsoft.com/office/drawing/2014/main" id="{0267AC34-7CFA-BB4F-95A0-3DDED388D2CF}"/>
            </a:ext>
          </a:extLst>
        </xdr:cNvPr>
        <xdr:cNvSpPr txBox="1"/>
      </xdr:nvSpPr>
      <xdr:spPr>
        <a:xfrm>
          <a:off x="8849854" y="1100356"/>
          <a:ext cx="531138" cy="269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chemeClr val="accent3">
                  <a:lumMod val="50000"/>
                </a:schemeClr>
              </a:solidFill>
              <a:latin typeface="Tw Cen MT Condensed Extra Bold" panose="020B0803020202020204" pitchFamily="34" charset="0"/>
            </a:rPr>
            <a:t>22</a:t>
          </a:r>
        </a:p>
      </xdr:txBody>
    </xdr:sp>
    <xdr:clientData/>
  </xdr:twoCellAnchor>
  <xdr:twoCellAnchor>
    <xdr:from>
      <xdr:col>18</xdr:col>
      <xdr:colOff>28202</xdr:colOff>
      <xdr:row>4</xdr:row>
      <xdr:rowOff>184745</xdr:rowOff>
    </xdr:from>
    <xdr:to>
      <xdr:col>20</xdr:col>
      <xdr:colOff>53817</xdr:colOff>
      <xdr:row>6</xdr:row>
      <xdr:rowOff>55928</xdr:rowOff>
    </xdr:to>
    <xdr:sp macro="" textlink="">
      <xdr:nvSpPr>
        <xdr:cNvPr id="17" name="TextBox 16">
          <a:extLst>
            <a:ext uri="{FF2B5EF4-FFF2-40B4-BE49-F238E27FC236}">
              <a16:creationId xmlns:a16="http://schemas.microsoft.com/office/drawing/2014/main" id="{757EF6E6-D2DB-7D9D-D39A-61663F2066ED}"/>
            </a:ext>
          </a:extLst>
        </xdr:cNvPr>
        <xdr:cNvSpPr txBox="1"/>
      </xdr:nvSpPr>
      <xdr:spPr>
        <a:xfrm>
          <a:off x="10971819" y="930532"/>
          <a:ext cx="1241572" cy="244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AVERAGE GOALS</a:t>
          </a:r>
        </a:p>
      </xdr:txBody>
    </xdr:sp>
    <xdr:clientData/>
  </xdr:twoCellAnchor>
  <xdr:oneCellAnchor>
    <xdr:from>
      <xdr:col>18</xdr:col>
      <xdr:colOff>237725</xdr:colOff>
      <xdr:row>6</xdr:row>
      <xdr:rowOff>2997</xdr:rowOff>
    </xdr:from>
    <xdr:ext cx="615691" cy="342338"/>
    <xdr:sp macro="" textlink="">
      <xdr:nvSpPr>
        <xdr:cNvPr id="18" name="TextBox 17">
          <a:extLst>
            <a:ext uri="{FF2B5EF4-FFF2-40B4-BE49-F238E27FC236}">
              <a16:creationId xmlns:a16="http://schemas.microsoft.com/office/drawing/2014/main" id="{D3DF2FAE-E053-8A77-4618-C1A6EDECB231}"/>
            </a:ext>
          </a:extLst>
        </xdr:cNvPr>
        <xdr:cNvSpPr txBox="1"/>
      </xdr:nvSpPr>
      <xdr:spPr>
        <a:xfrm flipH="1">
          <a:off x="11181342" y="1121678"/>
          <a:ext cx="615691" cy="3423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800">
              <a:solidFill>
                <a:schemeClr val="accent3">
                  <a:lumMod val="50000"/>
                </a:schemeClr>
              </a:solidFill>
              <a:latin typeface="Tw Cen MT Condensed Extra Bold" panose="020B0803020202020204" pitchFamily="34" charset="0"/>
            </a:rPr>
            <a:t>9.00</a:t>
          </a:r>
        </a:p>
      </xdr:txBody>
    </xdr:sp>
    <xdr:clientData/>
  </xdr:oneCellAnchor>
  <xdr:twoCellAnchor>
    <xdr:from>
      <xdr:col>0</xdr:col>
      <xdr:colOff>0</xdr:colOff>
      <xdr:row>10</xdr:row>
      <xdr:rowOff>160084</xdr:rowOff>
    </xdr:from>
    <xdr:to>
      <xdr:col>10</xdr:col>
      <xdr:colOff>0</xdr:colOff>
      <xdr:row>28</xdr:row>
      <xdr:rowOff>172891</xdr:rowOff>
    </xdr:to>
    <xdr:graphicFrame macro="">
      <xdr:nvGraphicFramePr>
        <xdr:cNvPr id="19" name="Chart 18">
          <a:extLst>
            <a:ext uri="{FF2B5EF4-FFF2-40B4-BE49-F238E27FC236}">
              <a16:creationId xmlns:a16="http://schemas.microsoft.com/office/drawing/2014/main" id="{58A286A6-8F25-4484-BFE9-B576277C54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606321</xdr:colOff>
      <xdr:row>11</xdr:row>
      <xdr:rowOff>0</xdr:rowOff>
    </xdr:from>
    <xdr:to>
      <xdr:col>20</xdr:col>
      <xdr:colOff>598128</xdr:colOff>
      <xdr:row>28</xdr:row>
      <xdr:rowOff>98322</xdr:rowOff>
    </xdr:to>
    <xdr:graphicFrame macro="">
      <xdr:nvGraphicFramePr>
        <xdr:cNvPr id="20" name="Chart 19">
          <a:extLst>
            <a:ext uri="{FF2B5EF4-FFF2-40B4-BE49-F238E27FC236}">
              <a16:creationId xmlns:a16="http://schemas.microsoft.com/office/drawing/2014/main" id="{CD1F63CD-8208-4223-8319-55DB702573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30</xdr:row>
      <xdr:rowOff>185349</xdr:rowOff>
    </xdr:from>
    <xdr:to>
      <xdr:col>9</xdr:col>
      <xdr:colOff>601133</xdr:colOff>
      <xdr:row>49</xdr:row>
      <xdr:rowOff>177799</xdr:rowOff>
    </xdr:to>
    <xdr:graphicFrame macro="">
      <xdr:nvGraphicFramePr>
        <xdr:cNvPr id="21" name="Chart 20">
          <a:extLst>
            <a:ext uri="{FF2B5EF4-FFF2-40B4-BE49-F238E27FC236}">
              <a16:creationId xmlns:a16="http://schemas.microsoft.com/office/drawing/2014/main" id="{07CB84EB-00BA-45F0-BE12-0C39A20476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31</xdr:row>
      <xdr:rowOff>0</xdr:rowOff>
    </xdr:from>
    <xdr:to>
      <xdr:col>21</xdr:col>
      <xdr:colOff>7189</xdr:colOff>
      <xdr:row>50</xdr:row>
      <xdr:rowOff>7189</xdr:rowOff>
    </xdr:to>
    <xdr:graphicFrame macro="">
      <xdr:nvGraphicFramePr>
        <xdr:cNvPr id="23" name="Chart 22">
          <a:extLst>
            <a:ext uri="{FF2B5EF4-FFF2-40B4-BE49-F238E27FC236}">
              <a16:creationId xmlns:a16="http://schemas.microsoft.com/office/drawing/2014/main" id="{EBC32378-B9EC-41ED-944E-896658D953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17755</xdr:colOff>
      <xdr:row>53</xdr:row>
      <xdr:rowOff>0</xdr:rowOff>
    </xdr:from>
    <xdr:to>
      <xdr:col>14</xdr:col>
      <xdr:colOff>247025</xdr:colOff>
      <xdr:row>63</xdr:row>
      <xdr:rowOff>103573</xdr:rowOff>
    </xdr:to>
    <mc:AlternateContent xmlns:mc="http://schemas.openxmlformats.org/markup-compatibility/2006" xmlns:a14="http://schemas.microsoft.com/office/drawing/2010/main">
      <mc:Choice Requires="a14">
        <xdr:graphicFrame macro="">
          <xdr:nvGraphicFramePr>
            <xdr:cNvPr id="24" name="Group">
              <a:extLst>
                <a:ext uri="{FF2B5EF4-FFF2-40B4-BE49-F238E27FC236}">
                  <a16:creationId xmlns:a16="http://schemas.microsoft.com/office/drawing/2014/main" id="{5A64982F-999D-4969-9FE8-215B64606A7A}"/>
                </a:ext>
              </a:extLst>
            </xdr:cNvPr>
            <xdr:cNvGraphicFramePr/>
          </xdr:nvGraphicFramePr>
          <xdr:xfrm>
            <a:off x="0" y="0"/>
            <a:ext cx="0" cy="0"/>
          </xdr:xfrm>
          <a:graphic>
            <a:graphicData uri="http://schemas.microsoft.com/office/drawing/2010/slicer">
              <sle:slicer xmlns:sle="http://schemas.microsoft.com/office/drawing/2010/slicer" name="Group"/>
            </a:graphicData>
          </a:graphic>
        </xdr:graphicFrame>
      </mc:Choice>
      <mc:Fallback xmlns="">
        <xdr:sp macro="" textlink="">
          <xdr:nvSpPr>
            <xdr:cNvPr id="0" name=""/>
            <xdr:cNvSpPr>
              <a:spLocks noTextEdit="1"/>
            </xdr:cNvSpPr>
          </xdr:nvSpPr>
          <xdr:spPr>
            <a:xfrm>
              <a:off x="6794691" y="9452043"/>
              <a:ext cx="2077525" cy="18869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21771</xdr:colOff>
      <xdr:row>52</xdr:row>
      <xdr:rowOff>166913</xdr:rowOff>
    </xdr:from>
    <xdr:to>
      <xdr:col>21</xdr:col>
      <xdr:colOff>21771</xdr:colOff>
      <xdr:row>63</xdr:row>
      <xdr:rowOff>44388</xdr:rowOff>
    </xdr:to>
    <mc:AlternateContent xmlns:mc="http://schemas.openxmlformats.org/markup-compatibility/2006" xmlns:a14="http://schemas.microsoft.com/office/drawing/2010/main">
      <mc:Choice Requires="a14">
        <xdr:graphicFrame macro="">
          <xdr:nvGraphicFramePr>
            <xdr:cNvPr id="25" name="Team">
              <a:extLst>
                <a:ext uri="{FF2B5EF4-FFF2-40B4-BE49-F238E27FC236}">
                  <a16:creationId xmlns:a16="http://schemas.microsoft.com/office/drawing/2014/main" id="{D37A712A-6D85-4173-8C70-5DD769F76642}"/>
                </a:ext>
              </a:extLst>
            </xdr:cNvPr>
            <xdr:cNvGraphicFramePr/>
          </xdr:nvGraphicFramePr>
          <xdr:xfrm>
            <a:off x="0" y="0"/>
            <a:ext cx="0" cy="0"/>
          </xdr:xfrm>
          <a:graphic>
            <a:graphicData uri="http://schemas.microsoft.com/office/drawing/2010/slicer">
              <sle:slicer xmlns:sle="http://schemas.microsoft.com/office/drawing/2010/slicer" name="Team"/>
            </a:graphicData>
          </a:graphic>
        </xdr:graphicFrame>
      </mc:Choice>
      <mc:Fallback xmlns="">
        <xdr:sp macro="" textlink="">
          <xdr:nvSpPr>
            <xdr:cNvPr id="0" name=""/>
            <xdr:cNvSpPr>
              <a:spLocks noTextEdit="1"/>
            </xdr:cNvSpPr>
          </xdr:nvSpPr>
          <xdr:spPr>
            <a:xfrm>
              <a:off x="10994571" y="9601199"/>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399143</xdr:colOff>
      <xdr:row>52</xdr:row>
      <xdr:rowOff>166913</xdr:rowOff>
    </xdr:from>
    <xdr:to>
      <xdr:col>17</xdr:col>
      <xdr:colOff>399143</xdr:colOff>
      <xdr:row>63</xdr:row>
      <xdr:rowOff>88776</xdr:rowOff>
    </xdr:to>
    <mc:AlternateContent xmlns:mc="http://schemas.openxmlformats.org/markup-compatibility/2006" xmlns:a14="http://schemas.microsoft.com/office/drawing/2010/main">
      <mc:Choice Requires="a14">
        <xdr:graphicFrame macro="">
          <xdr:nvGraphicFramePr>
            <xdr:cNvPr id="26" name="Tournament Result">
              <a:extLst>
                <a:ext uri="{FF2B5EF4-FFF2-40B4-BE49-F238E27FC236}">
                  <a16:creationId xmlns:a16="http://schemas.microsoft.com/office/drawing/2014/main" id="{C2BCDEE9-0A09-464E-AA79-FEF47A75D85E}"/>
                </a:ext>
              </a:extLst>
            </xdr:cNvPr>
            <xdr:cNvGraphicFramePr/>
          </xdr:nvGraphicFramePr>
          <xdr:xfrm>
            <a:off x="0" y="0"/>
            <a:ext cx="0" cy="0"/>
          </xdr:xfrm>
          <a:graphic>
            <a:graphicData uri="http://schemas.microsoft.com/office/drawing/2010/slicer">
              <sle:slicer xmlns:sle="http://schemas.microsoft.com/office/drawing/2010/slicer" name="Tournament Result"/>
            </a:graphicData>
          </a:graphic>
        </xdr:graphicFrame>
      </mc:Choice>
      <mc:Fallback xmlns="">
        <xdr:sp macro="" textlink="">
          <xdr:nvSpPr>
            <xdr:cNvPr id="0" name=""/>
            <xdr:cNvSpPr>
              <a:spLocks noTextEdit="1"/>
            </xdr:cNvSpPr>
          </xdr:nvSpPr>
          <xdr:spPr>
            <a:xfrm>
              <a:off x="8933543" y="9601199"/>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nka mylavaram" refreshedDate="46234.823953587962" createdVersion="8" refreshedVersion="8" minRefreshableVersion="3" recordCount="48" xr:uid="{00000000-000A-0000-FFFF-FFFF00000000}">
  <cacheSource type="worksheet">
    <worksheetSource name="Standings"/>
  </cacheSource>
  <cacheFields count="16">
    <cacheField name="Rank" numFmtId="0">
      <sharedItems containsSemiMixedTypes="0" containsString="0" containsNumber="1" containsInteger="1" minValue="1" maxValue="48" count="47">
        <n v="1"/>
        <n v="2"/>
        <n v="3"/>
        <n v="4"/>
        <n v="5"/>
        <n v="6"/>
        <n v="7"/>
        <n v="9"/>
        <n v="10"/>
        <n v="11"/>
        <n v="12"/>
        <n v="13"/>
        <n v="14"/>
        <n v="15"/>
        <n v="16"/>
        <n v="17"/>
        <n v="18"/>
        <n v="19"/>
        <n v="20"/>
        <n v="21"/>
        <n v="22"/>
        <n v="23"/>
        <n v="24"/>
        <n v="25"/>
        <n v="26"/>
        <n v="27"/>
        <n v="28"/>
        <n v="29"/>
        <n v="30"/>
        <n v="31"/>
        <n v="32"/>
        <n v="33"/>
        <n v="34"/>
        <n v="35"/>
        <n v="36"/>
        <n v="37"/>
        <n v="38"/>
        <n v="39"/>
        <n v="40"/>
        <n v="41"/>
        <n v="42"/>
        <n v="43"/>
        <n v="44"/>
        <n v="45"/>
        <n v="46"/>
        <n v="47"/>
        <n v="48"/>
      </sharedItems>
    </cacheField>
    <cacheField name="Team" numFmtId="0">
      <sharedItems containsBlank="1" count="49">
        <s v="Spain"/>
        <s v="Argentina"/>
        <s v="England"/>
        <s v="France"/>
        <s v="Norway"/>
        <s v="Belgium"/>
        <s v="Morocco"/>
        <s v="Switzerland"/>
        <s v="Mexico"/>
        <s v="Colombia"/>
        <s v="Brazil"/>
        <s v="United States"/>
        <s v="Portugal"/>
        <s v="Canada"/>
        <s v="Egypt"/>
        <s v="Paraguay"/>
        <s v="Netherlands"/>
        <s v="Germany"/>
        <s v="Ivory Coast"/>
        <s v="Croatia"/>
        <s v="Japan"/>
        <s v="Australia"/>
        <s v="DR Congo"/>
        <s v="Ghana"/>
        <s v="Ecuador"/>
        <s v="South Africa"/>
        <s v="Sweden"/>
        <s v="Austria"/>
        <s v="Bosnia and Herzegovina"/>
        <s v="Algeria"/>
        <s v="Senegal"/>
        <s v="Cape Verde"/>
        <s v="Iran"/>
        <s v="South Korea"/>
        <s v="Turkey"/>
        <s v="Scotland"/>
        <s v="Uruguay"/>
        <s v="Saudi Arabia"/>
        <s v="Czech Republic"/>
        <s v="New Zealand"/>
        <s v="Qatar"/>
        <s v="Curacao"/>
        <s v="Panama"/>
        <s v="Jordan"/>
        <s v="Haiti"/>
        <s v="Uzbekistan"/>
        <s v="Tunisia"/>
        <s v="Iraq"/>
        <m u="1"/>
      </sharedItems>
    </cacheField>
    <cacheField name="Group" numFmtId="0">
      <sharedItems containsBlank="1" count="13">
        <s v="H"/>
        <s v="J"/>
        <s v="L"/>
        <s v="I"/>
        <s v="G"/>
        <s v="C"/>
        <s v="B"/>
        <s v="A"/>
        <s v="K"/>
        <s v="D"/>
        <s v="F"/>
        <s v="E"/>
        <m u="1"/>
      </sharedItems>
    </cacheField>
    <cacheField name="Played" numFmtId="0">
      <sharedItems containsSemiMixedTypes="0" containsString="0" containsNumber="1" containsInteger="1" minValue="3" maxValue="8"/>
    </cacheField>
    <cacheField name="Wins" numFmtId="0">
      <sharedItems containsSemiMixedTypes="0" containsString="0" containsNumber="1" containsInteger="1" minValue="0" maxValue="7"/>
    </cacheField>
    <cacheField name="Draws" numFmtId="0">
      <sharedItems containsSemiMixedTypes="0" containsString="0" containsNumber="1" containsInteger="1" minValue="0" maxValue="3"/>
    </cacheField>
    <cacheField name="Losses" numFmtId="0">
      <sharedItems containsSemiMixedTypes="0" containsString="0" containsNumber="1" containsInteger="1" minValue="0" maxValue="3"/>
    </cacheField>
    <cacheField name="GF" numFmtId="0">
      <sharedItems containsSemiMixedTypes="0" containsString="0" containsNumber="1" containsInteger="1" minValue="2" maxValue="20"/>
    </cacheField>
    <cacheField name="GA" numFmtId="0">
      <sharedItems containsSemiMixedTypes="0" containsString="0" containsNumber="1" containsInteger="1" minValue="1" maxValue="12"/>
    </cacheField>
    <cacheField name="GD" numFmtId="0">
      <sharedItems containsSemiMixedTypes="0" containsString="0" containsNumber="1" containsInteger="1" minValue="-11" maxValue="13"/>
    </cacheField>
    <cacheField name="Points" numFmtId="0">
      <sharedItems containsSemiMixedTypes="0" containsString="0" containsNumber="1" containsInteger="1" minValue="0" maxValue="22"/>
    </cacheField>
    <cacheField name="Tournament Result" numFmtId="0">
      <sharedItems containsBlank="1" count="9">
        <s v="Champion"/>
        <s v="Runner-up"/>
        <s v="Third place"/>
        <s v="Fourth place"/>
        <s v="Quarter Finals"/>
        <s v="Eliminated in round of 16"/>
        <s v="Eliminated in round of 32"/>
        <s v="Eliminated in group stage"/>
        <m u="1"/>
      </sharedItems>
    </cacheField>
    <cacheField name="Goal Efficiency" numFmtId="164">
      <sharedItems containsSemiMixedTypes="0" containsString="0" containsNumber="1" minValue="0.5" maxValue="4"/>
    </cacheField>
    <cacheField name="Win %" numFmtId="9">
      <sharedItems containsSemiMixedTypes="0" containsString="0" containsNumber="1" minValue="0" maxValue="0.875"/>
    </cacheField>
    <cacheField name="Attack" numFmtId="0">
      <sharedItems count="3">
        <s v="Good"/>
        <s v="Excellent"/>
        <s v="Average"/>
      </sharedItems>
    </cacheField>
    <cacheField name="Defense" numFmtId="0">
      <sharedItems/>
    </cacheField>
  </cacheFields>
  <extLst>
    <ext xmlns:x14="http://schemas.microsoft.com/office/spreadsheetml/2009/9/main" uri="{725AE2AE-9491-48be-B2B4-4EB974FC3084}">
      <x14:pivotCacheDefinition pivotCacheId="6103318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x v="0"/>
    <x v="0"/>
    <x v="0"/>
    <n v="8"/>
    <n v="7"/>
    <n v="1"/>
    <n v="0"/>
    <n v="14"/>
    <n v="1"/>
    <n v="13"/>
    <n v="22"/>
    <x v="0"/>
    <n v="1.75"/>
    <n v="0.875"/>
    <x v="0"/>
    <s v="Excellent"/>
  </r>
  <r>
    <x v="1"/>
    <x v="1"/>
    <x v="1"/>
    <n v="8"/>
    <n v="7"/>
    <n v="0"/>
    <n v="1"/>
    <n v="19"/>
    <n v="8"/>
    <n v="11"/>
    <n v="21"/>
    <x v="1"/>
    <n v="2.375"/>
    <n v="0.875"/>
    <x v="1"/>
    <s v="Good"/>
  </r>
  <r>
    <x v="2"/>
    <x v="2"/>
    <x v="2"/>
    <n v="8"/>
    <n v="6"/>
    <n v="1"/>
    <n v="1"/>
    <n v="20"/>
    <n v="12"/>
    <n v="8"/>
    <n v="19"/>
    <x v="2"/>
    <n v="2.5"/>
    <n v="0.75"/>
    <x v="1"/>
    <s v="Average"/>
  </r>
  <r>
    <x v="3"/>
    <x v="3"/>
    <x v="3"/>
    <n v="8"/>
    <n v="6"/>
    <n v="0"/>
    <n v="2"/>
    <n v="20"/>
    <n v="10"/>
    <n v="10"/>
    <n v="18"/>
    <x v="3"/>
    <n v="2.5"/>
    <n v="0.75"/>
    <x v="1"/>
    <s v="Good"/>
  </r>
  <r>
    <x v="4"/>
    <x v="4"/>
    <x v="3"/>
    <n v="6"/>
    <n v="4"/>
    <n v="0"/>
    <n v="2"/>
    <n v="13"/>
    <n v="11"/>
    <n v="2"/>
    <n v="12"/>
    <x v="4"/>
    <n v="2.1666666666666665"/>
    <n v="0.66666666666666663"/>
    <x v="0"/>
    <s v="Average"/>
  </r>
  <r>
    <x v="5"/>
    <x v="5"/>
    <x v="4"/>
    <n v="6"/>
    <n v="3"/>
    <n v="2"/>
    <n v="1"/>
    <n v="14"/>
    <n v="7"/>
    <n v="7"/>
    <n v="11"/>
    <x v="4"/>
    <n v="2.3333333333333335"/>
    <n v="0.5"/>
    <x v="0"/>
    <s v="Good"/>
  </r>
  <r>
    <x v="6"/>
    <x v="6"/>
    <x v="5"/>
    <n v="6"/>
    <n v="3"/>
    <n v="2"/>
    <n v="1"/>
    <n v="10"/>
    <n v="6"/>
    <n v="4"/>
    <n v="11"/>
    <x v="4"/>
    <n v="1.6666666666666667"/>
    <n v="0.5"/>
    <x v="0"/>
    <s v="Good"/>
  </r>
  <r>
    <x v="6"/>
    <x v="7"/>
    <x v="6"/>
    <n v="6"/>
    <n v="3"/>
    <n v="2"/>
    <n v="1"/>
    <n v="10"/>
    <n v="6"/>
    <n v="4"/>
    <n v="11"/>
    <x v="4"/>
    <n v="1.6666666666666667"/>
    <n v="0.5"/>
    <x v="0"/>
    <s v="Good"/>
  </r>
  <r>
    <x v="7"/>
    <x v="8"/>
    <x v="7"/>
    <n v="5"/>
    <n v="4"/>
    <n v="0"/>
    <n v="1"/>
    <n v="10"/>
    <n v="3"/>
    <n v="7"/>
    <n v="12"/>
    <x v="5"/>
    <n v="2"/>
    <n v="0.8"/>
    <x v="0"/>
    <s v="Excellent"/>
  </r>
  <r>
    <x v="8"/>
    <x v="9"/>
    <x v="8"/>
    <n v="5"/>
    <n v="3"/>
    <n v="2"/>
    <n v="0"/>
    <n v="5"/>
    <n v="1"/>
    <n v="4"/>
    <n v="11"/>
    <x v="5"/>
    <n v="1"/>
    <n v="0.6"/>
    <x v="2"/>
    <s v="Excellent"/>
  </r>
  <r>
    <x v="9"/>
    <x v="10"/>
    <x v="5"/>
    <n v="5"/>
    <n v="3"/>
    <n v="1"/>
    <n v="1"/>
    <n v="10"/>
    <n v="4"/>
    <n v="6"/>
    <n v="10"/>
    <x v="5"/>
    <n v="2"/>
    <n v="0.6"/>
    <x v="0"/>
    <s v="Excellent"/>
  </r>
  <r>
    <x v="10"/>
    <x v="11"/>
    <x v="9"/>
    <n v="5"/>
    <n v="3"/>
    <n v="0"/>
    <n v="2"/>
    <n v="11"/>
    <n v="8"/>
    <n v="3"/>
    <n v="9"/>
    <x v="5"/>
    <n v="2.2000000000000002"/>
    <n v="0.6"/>
    <x v="0"/>
    <s v="Good"/>
  </r>
  <r>
    <x v="11"/>
    <x v="12"/>
    <x v="8"/>
    <n v="5"/>
    <n v="2"/>
    <n v="2"/>
    <n v="1"/>
    <n v="8"/>
    <n v="3"/>
    <n v="5"/>
    <n v="8"/>
    <x v="5"/>
    <n v="1.6"/>
    <n v="0.4"/>
    <x v="2"/>
    <s v="Excellent"/>
  </r>
  <r>
    <x v="12"/>
    <x v="13"/>
    <x v="6"/>
    <n v="5"/>
    <n v="2"/>
    <n v="1"/>
    <n v="2"/>
    <n v="9"/>
    <n v="6"/>
    <n v="3"/>
    <n v="7"/>
    <x v="5"/>
    <n v="1.8"/>
    <n v="0.4"/>
    <x v="2"/>
    <s v="Good"/>
  </r>
  <r>
    <x v="13"/>
    <x v="14"/>
    <x v="4"/>
    <n v="5"/>
    <n v="1"/>
    <n v="3"/>
    <n v="1"/>
    <n v="8"/>
    <n v="7"/>
    <n v="1"/>
    <n v="6"/>
    <x v="5"/>
    <n v="1.6"/>
    <n v="0.2"/>
    <x v="2"/>
    <s v="Good"/>
  </r>
  <r>
    <x v="14"/>
    <x v="15"/>
    <x v="9"/>
    <n v="4"/>
    <n v="1"/>
    <n v="2"/>
    <n v="2"/>
    <n v="3"/>
    <n v="6"/>
    <n v="-3"/>
    <n v="5"/>
    <x v="5"/>
    <n v="0.75"/>
    <n v="0.25"/>
    <x v="2"/>
    <s v="Good"/>
  </r>
  <r>
    <x v="15"/>
    <x v="16"/>
    <x v="10"/>
    <n v="4"/>
    <n v="2"/>
    <n v="2"/>
    <n v="0"/>
    <n v="11"/>
    <n v="5"/>
    <n v="6"/>
    <n v="8"/>
    <x v="6"/>
    <n v="2.75"/>
    <n v="0.5"/>
    <x v="0"/>
    <s v="Excellent"/>
  </r>
  <r>
    <x v="16"/>
    <x v="17"/>
    <x v="11"/>
    <n v="4"/>
    <n v="2"/>
    <n v="1"/>
    <n v="1"/>
    <n v="11"/>
    <n v="5"/>
    <n v="6"/>
    <n v="7"/>
    <x v="6"/>
    <n v="2.75"/>
    <n v="0.5"/>
    <x v="0"/>
    <s v="Excellent"/>
  </r>
  <r>
    <x v="17"/>
    <x v="18"/>
    <x v="11"/>
    <n v="4"/>
    <n v="2"/>
    <n v="0"/>
    <n v="2"/>
    <n v="5"/>
    <n v="4"/>
    <n v="1"/>
    <n v="6"/>
    <x v="6"/>
    <n v="1.25"/>
    <n v="0.5"/>
    <x v="2"/>
    <s v="Excellent"/>
  </r>
  <r>
    <x v="18"/>
    <x v="19"/>
    <x v="2"/>
    <n v="4"/>
    <n v="2"/>
    <n v="0"/>
    <n v="2"/>
    <n v="6"/>
    <n v="7"/>
    <n v="-1"/>
    <n v="6"/>
    <x v="6"/>
    <n v="1.5"/>
    <n v="0.5"/>
    <x v="2"/>
    <s v="Good"/>
  </r>
  <r>
    <x v="19"/>
    <x v="20"/>
    <x v="10"/>
    <n v="4"/>
    <n v="1"/>
    <n v="2"/>
    <n v="1"/>
    <n v="8"/>
    <n v="5"/>
    <n v="3"/>
    <n v="5"/>
    <x v="6"/>
    <n v="2"/>
    <n v="0.25"/>
    <x v="2"/>
    <s v="Excellent"/>
  </r>
  <r>
    <x v="20"/>
    <x v="21"/>
    <x v="9"/>
    <n v="4"/>
    <n v="1"/>
    <n v="2"/>
    <n v="1"/>
    <n v="3"/>
    <n v="3"/>
    <n v="0"/>
    <n v="5"/>
    <x v="6"/>
    <n v="0.75"/>
    <n v="0.25"/>
    <x v="2"/>
    <s v="Excellent"/>
  </r>
  <r>
    <x v="21"/>
    <x v="22"/>
    <x v="8"/>
    <n v="4"/>
    <n v="1"/>
    <n v="1"/>
    <n v="2"/>
    <n v="5"/>
    <n v="5"/>
    <n v="0"/>
    <n v="4"/>
    <x v="6"/>
    <n v="1.25"/>
    <n v="0.25"/>
    <x v="2"/>
    <s v="Excellent"/>
  </r>
  <r>
    <x v="22"/>
    <x v="23"/>
    <x v="2"/>
    <n v="4"/>
    <n v="1"/>
    <n v="1"/>
    <n v="2"/>
    <n v="2"/>
    <n v="3"/>
    <n v="-1"/>
    <n v="4"/>
    <x v="6"/>
    <n v="0.5"/>
    <n v="0.25"/>
    <x v="2"/>
    <s v="Excellent"/>
  </r>
  <r>
    <x v="23"/>
    <x v="24"/>
    <x v="11"/>
    <n v="4"/>
    <n v="1"/>
    <n v="1"/>
    <n v="2"/>
    <n v="2"/>
    <n v="4"/>
    <n v="-2"/>
    <n v="4"/>
    <x v="6"/>
    <n v="0.5"/>
    <n v="0.25"/>
    <x v="2"/>
    <s v="Excellent"/>
  </r>
  <r>
    <x v="24"/>
    <x v="25"/>
    <x v="7"/>
    <n v="4"/>
    <n v="1"/>
    <n v="1"/>
    <n v="2"/>
    <n v="2"/>
    <n v="4"/>
    <n v="-2"/>
    <n v="4"/>
    <x v="6"/>
    <n v="0.5"/>
    <n v="0.25"/>
    <x v="2"/>
    <s v="Excellent"/>
  </r>
  <r>
    <x v="25"/>
    <x v="26"/>
    <x v="10"/>
    <n v="4"/>
    <n v="1"/>
    <n v="1"/>
    <n v="2"/>
    <n v="7"/>
    <n v="10"/>
    <n v="-3"/>
    <n v="4"/>
    <x v="6"/>
    <n v="1.75"/>
    <n v="0.25"/>
    <x v="2"/>
    <s v="Good"/>
  </r>
  <r>
    <x v="26"/>
    <x v="27"/>
    <x v="1"/>
    <n v="4"/>
    <n v="1"/>
    <n v="1"/>
    <n v="2"/>
    <n v="6"/>
    <n v="9"/>
    <n v="-3"/>
    <n v="4"/>
    <x v="6"/>
    <n v="1.5"/>
    <n v="0.25"/>
    <x v="2"/>
    <s v="Good"/>
  </r>
  <r>
    <x v="27"/>
    <x v="28"/>
    <x v="6"/>
    <n v="4"/>
    <n v="1"/>
    <n v="1"/>
    <n v="2"/>
    <n v="5"/>
    <n v="8"/>
    <n v="-3"/>
    <n v="4"/>
    <x v="6"/>
    <n v="1.25"/>
    <n v="0.25"/>
    <x v="2"/>
    <s v="Good"/>
  </r>
  <r>
    <x v="28"/>
    <x v="29"/>
    <x v="1"/>
    <n v="4"/>
    <n v="1"/>
    <n v="1"/>
    <n v="2"/>
    <n v="5"/>
    <n v="9"/>
    <n v="-4"/>
    <n v="4"/>
    <x v="6"/>
    <n v="1.25"/>
    <n v="0.25"/>
    <x v="2"/>
    <s v="Good"/>
  </r>
  <r>
    <x v="29"/>
    <x v="30"/>
    <x v="3"/>
    <n v="4"/>
    <n v="1"/>
    <n v="0"/>
    <n v="3"/>
    <n v="10"/>
    <n v="9"/>
    <n v="1"/>
    <n v="3"/>
    <x v="6"/>
    <n v="2.5"/>
    <n v="0.25"/>
    <x v="0"/>
    <s v="Good"/>
  </r>
  <r>
    <x v="30"/>
    <x v="31"/>
    <x v="0"/>
    <n v="4"/>
    <n v="0"/>
    <n v="3"/>
    <n v="1"/>
    <n v="4"/>
    <n v="5"/>
    <n v="-1"/>
    <n v="3"/>
    <x v="6"/>
    <n v="1"/>
    <n v="0"/>
    <x v="2"/>
    <s v="Excellent"/>
  </r>
  <r>
    <x v="31"/>
    <x v="32"/>
    <x v="4"/>
    <n v="3"/>
    <n v="0"/>
    <n v="3"/>
    <n v="0"/>
    <n v="3"/>
    <n v="3"/>
    <n v="0"/>
    <n v="3"/>
    <x v="7"/>
    <n v="1"/>
    <n v="0"/>
    <x v="2"/>
    <s v="Excellent"/>
  </r>
  <r>
    <x v="32"/>
    <x v="33"/>
    <x v="7"/>
    <n v="3"/>
    <n v="1"/>
    <n v="0"/>
    <n v="2"/>
    <n v="3"/>
    <n v="3"/>
    <n v="-1"/>
    <n v="3"/>
    <x v="7"/>
    <n v="1"/>
    <n v="0.33333333333333331"/>
    <x v="2"/>
    <s v="Excellent"/>
  </r>
  <r>
    <x v="33"/>
    <x v="34"/>
    <x v="9"/>
    <n v="3"/>
    <n v="1"/>
    <n v="0"/>
    <n v="2"/>
    <n v="5"/>
    <n v="5"/>
    <n v="-2"/>
    <n v="3"/>
    <x v="7"/>
    <n v="1.6666666666666667"/>
    <n v="0.33333333333333331"/>
    <x v="2"/>
    <s v="Excellent"/>
  </r>
  <r>
    <x v="34"/>
    <x v="35"/>
    <x v="5"/>
    <n v="3"/>
    <n v="1"/>
    <n v="0"/>
    <n v="2"/>
    <n v="4"/>
    <n v="4"/>
    <n v="-3"/>
    <n v="3"/>
    <x v="7"/>
    <n v="1.3333333333333333"/>
    <n v="0.33333333333333331"/>
    <x v="2"/>
    <s v="Excellent"/>
  </r>
  <r>
    <x v="35"/>
    <x v="36"/>
    <x v="0"/>
    <n v="3"/>
    <n v="0"/>
    <n v="2"/>
    <n v="1"/>
    <n v="4"/>
    <n v="4"/>
    <n v="-1"/>
    <n v="2"/>
    <x v="7"/>
    <n v="1.3333333333333333"/>
    <n v="0"/>
    <x v="2"/>
    <s v="Excellent"/>
  </r>
  <r>
    <x v="36"/>
    <x v="37"/>
    <x v="0"/>
    <n v="3"/>
    <n v="0"/>
    <n v="2"/>
    <n v="1"/>
    <n v="5"/>
    <n v="5"/>
    <n v="-4"/>
    <n v="2"/>
    <x v="7"/>
    <n v="1.6666666666666667"/>
    <n v="0"/>
    <x v="2"/>
    <s v="Excellent"/>
  </r>
  <r>
    <x v="37"/>
    <x v="38"/>
    <x v="7"/>
    <n v="3"/>
    <n v="0"/>
    <n v="1"/>
    <n v="2"/>
    <n v="6"/>
    <n v="6"/>
    <n v="-4"/>
    <n v="1"/>
    <x v="7"/>
    <n v="2"/>
    <n v="0"/>
    <x v="2"/>
    <s v="Good"/>
  </r>
  <r>
    <x v="38"/>
    <x v="39"/>
    <x v="4"/>
    <n v="3"/>
    <n v="0"/>
    <n v="1"/>
    <n v="2"/>
    <n v="10"/>
    <n v="10"/>
    <n v="-6"/>
    <n v="1"/>
    <x v="7"/>
    <n v="3.3333333333333335"/>
    <n v="0"/>
    <x v="0"/>
    <s v="Good"/>
  </r>
  <r>
    <x v="39"/>
    <x v="40"/>
    <x v="6"/>
    <n v="3"/>
    <n v="0"/>
    <n v="1"/>
    <n v="2"/>
    <n v="10"/>
    <n v="10"/>
    <n v="-8"/>
    <n v="1"/>
    <x v="7"/>
    <n v="3.3333333333333335"/>
    <n v="0"/>
    <x v="0"/>
    <s v="Good"/>
  </r>
  <r>
    <x v="40"/>
    <x v="41"/>
    <x v="11"/>
    <n v="3"/>
    <n v="0"/>
    <n v="1"/>
    <n v="2"/>
    <n v="9"/>
    <n v="9"/>
    <n v="-8"/>
    <n v="1"/>
    <x v="7"/>
    <n v="3"/>
    <n v="0"/>
    <x v="2"/>
    <s v="Good"/>
  </r>
  <r>
    <x v="41"/>
    <x v="42"/>
    <x v="2"/>
    <n v="3"/>
    <n v="0"/>
    <n v="0"/>
    <n v="3"/>
    <n v="4"/>
    <n v="4"/>
    <n v="-4"/>
    <n v="0"/>
    <x v="7"/>
    <n v="1.3333333333333333"/>
    <n v="0"/>
    <x v="2"/>
    <s v="Excellent"/>
  </r>
  <r>
    <x v="42"/>
    <x v="43"/>
    <x v="1"/>
    <n v="3"/>
    <n v="0"/>
    <n v="0"/>
    <n v="3"/>
    <n v="8"/>
    <n v="8"/>
    <n v="-5"/>
    <n v="0"/>
    <x v="7"/>
    <n v="2.6666666666666665"/>
    <n v="0"/>
    <x v="2"/>
    <s v="Good"/>
  </r>
  <r>
    <x v="43"/>
    <x v="44"/>
    <x v="5"/>
    <n v="3"/>
    <n v="0"/>
    <n v="0"/>
    <n v="3"/>
    <n v="8"/>
    <n v="8"/>
    <n v="-6"/>
    <n v="0"/>
    <x v="7"/>
    <n v="2.6666666666666665"/>
    <n v="0"/>
    <x v="2"/>
    <s v="Good"/>
  </r>
  <r>
    <x v="44"/>
    <x v="45"/>
    <x v="8"/>
    <n v="3"/>
    <n v="0"/>
    <n v="0"/>
    <n v="3"/>
    <n v="11"/>
    <n v="11"/>
    <n v="-9"/>
    <n v="0"/>
    <x v="7"/>
    <n v="3.6666666666666665"/>
    <n v="0"/>
    <x v="0"/>
    <s v="Average"/>
  </r>
  <r>
    <x v="45"/>
    <x v="46"/>
    <x v="10"/>
    <n v="3"/>
    <n v="0"/>
    <n v="0"/>
    <n v="3"/>
    <n v="12"/>
    <n v="12"/>
    <n v="-10"/>
    <n v="0"/>
    <x v="7"/>
    <n v="4"/>
    <n v="0"/>
    <x v="0"/>
    <s v="Average"/>
  </r>
  <r>
    <x v="46"/>
    <x v="47"/>
    <x v="3"/>
    <n v="3"/>
    <n v="0"/>
    <n v="0"/>
    <n v="3"/>
    <n v="12"/>
    <n v="12"/>
    <n v="-11"/>
    <n v="0"/>
    <x v="7"/>
    <n v="4"/>
    <n v="0"/>
    <x v="0"/>
    <s v="Averag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AEE238-8A40-4CB1-8848-E6F6A9E285F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3:I16" firstHeaderRow="0" firstDataRow="1" firstDataCol="1"/>
  <pivotFields count="16">
    <pivotField showAll="0"/>
    <pivotField axis="axisRow" showAll="0" measureFilter="1">
      <items count="50">
        <item x="29"/>
        <item x="1"/>
        <item x="21"/>
        <item x="27"/>
        <item x="5"/>
        <item x="28"/>
        <item x="10"/>
        <item x="13"/>
        <item x="31"/>
        <item x="9"/>
        <item x="19"/>
        <item x="41"/>
        <item x="38"/>
        <item x="22"/>
        <item x="24"/>
        <item x="14"/>
        <item x="2"/>
        <item x="3"/>
        <item x="17"/>
        <item x="23"/>
        <item x="44"/>
        <item x="32"/>
        <item x="47"/>
        <item x="18"/>
        <item x="20"/>
        <item x="43"/>
        <item x="8"/>
        <item x="6"/>
        <item x="16"/>
        <item x="39"/>
        <item x="4"/>
        <item x="42"/>
        <item x="15"/>
        <item x="12"/>
        <item x="40"/>
        <item x="37"/>
        <item x="35"/>
        <item x="30"/>
        <item x="25"/>
        <item x="33"/>
        <item x="0"/>
        <item x="26"/>
        <item x="7"/>
        <item x="46"/>
        <item x="34"/>
        <item x="11"/>
        <item x="36"/>
        <item x="45"/>
        <item m="1" x="48"/>
        <item t="default"/>
      </items>
    </pivotField>
    <pivotField showAll="0"/>
    <pivotField showAll="0"/>
    <pivotField showAll="0"/>
    <pivotField showAll="0"/>
    <pivotField showAll="0"/>
    <pivotField dataField="1" showAll="0"/>
    <pivotField dataField="1" showAll="0"/>
    <pivotField showAll="0"/>
    <pivotField showAll="0"/>
    <pivotField showAll="0">
      <items count="10">
        <item x="0"/>
        <item x="7"/>
        <item x="5"/>
        <item x="6"/>
        <item x="3"/>
        <item x="4"/>
        <item x="1"/>
        <item x="2"/>
        <item m="1" x="8"/>
        <item t="default"/>
      </items>
    </pivotField>
    <pivotField numFmtId="164" showAll="0"/>
    <pivotField numFmtId="9" showAll="0"/>
    <pivotField showAll="0"/>
    <pivotField showAll="0"/>
  </pivotFields>
  <rowFields count="1">
    <field x="1"/>
  </rowFields>
  <rowItems count="13">
    <i>
      <x v="1"/>
    </i>
    <i>
      <x v="4"/>
    </i>
    <i>
      <x v="16"/>
    </i>
    <i>
      <x v="17"/>
    </i>
    <i>
      <x v="18"/>
    </i>
    <i>
      <x v="22"/>
    </i>
    <i>
      <x v="28"/>
    </i>
    <i>
      <x v="30"/>
    </i>
    <i>
      <x v="40"/>
    </i>
    <i>
      <x v="43"/>
    </i>
    <i>
      <x v="45"/>
    </i>
    <i>
      <x v="47"/>
    </i>
    <i t="grand">
      <x/>
    </i>
  </rowItems>
  <colFields count="1">
    <field x="-2"/>
  </colFields>
  <colItems count="2">
    <i>
      <x/>
    </i>
    <i i="1">
      <x v="1"/>
    </i>
  </colItems>
  <dataFields count="2">
    <dataField name="Sum of GF" fld="7" baseField="0" baseItem="0"/>
    <dataField name="Sum of GA" fld="8"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60BC4E-C0C5-419F-84ED-7B1FA29CDBE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3:E16" firstHeaderRow="1" firstDataRow="1" firstDataCol="1"/>
  <pivotFields count="16">
    <pivotField showAll="0"/>
    <pivotField showAll="0">
      <items count="50">
        <item x="29"/>
        <item x="1"/>
        <item x="21"/>
        <item x="27"/>
        <item x="5"/>
        <item x="28"/>
        <item x="10"/>
        <item x="13"/>
        <item x="31"/>
        <item x="9"/>
        <item x="19"/>
        <item x="41"/>
        <item x="38"/>
        <item x="22"/>
        <item x="24"/>
        <item x="14"/>
        <item x="2"/>
        <item x="3"/>
        <item x="17"/>
        <item x="23"/>
        <item x="44"/>
        <item x="32"/>
        <item x="47"/>
        <item x="18"/>
        <item x="20"/>
        <item x="43"/>
        <item x="8"/>
        <item x="6"/>
        <item x="16"/>
        <item x="39"/>
        <item x="4"/>
        <item x="42"/>
        <item x="15"/>
        <item x="12"/>
        <item x="40"/>
        <item x="37"/>
        <item x="35"/>
        <item x="30"/>
        <item x="25"/>
        <item x="33"/>
        <item x="0"/>
        <item x="26"/>
        <item x="7"/>
        <item x="46"/>
        <item x="34"/>
        <item x="11"/>
        <item x="36"/>
        <item x="45"/>
        <item m="1" x="48"/>
        <item t="default"/>
      </items>
    </pivotField>
    <pivotField axis="axisRow" showAll="0">
      <items count="14">
        <item x="7"/>
        <item x="6"/>
        <item x="5"/>
        <item x="9"/>
        <item x="11"/>
        <item x="10"/>
        <item x="4"/>
        <item x="0"/>
        <item x="3"/>
        <item x="1"/>
        <item x="8"/>
        <item x="2"/>
        <item m="1" x="12"/>
        <item t="default"/>
      </items>
    </pivotField>
    <pivotField showAll="0"/>
    <pivotField showAll="0"/>
    <pivotField showAll="0"/>
    <pivotField showAll="0"/>
    <pivotField showAll="0"/>
    <pivotField showAll="0"/>
    <pivotField showAll="0"/>
    <pivotField dataField="1" showAll="0"/>
    <pivotField showAll="0">
      <items count="10">
        <item x="0"/>
        <item x="7"/>
        <item x="5"/>
        <item x="6"/>
        <item x="3"/>
        <item x="4"/>
        <item x="1"/>
        <item x="2"/>
        <item m="1" x="8"/>
        <item t="default"/>
      </items>
    </pivotField>
    <pivotField numFmtId="164" showAll="0"/>
    <pivotField numFmtId="9"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Points" fld="1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21CF19-1983-406B-92E3-296A4555FED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6:B25" firstHeaderRow="1" firstDataRow="1" firstDataCol="1"/>
  <pivotFields count="16">
    <pivotField showAll="0"/>
    <pivotField showAll="0"/>
    <pivotField showAll="0"/>
    <pivotField showAll="0"/>
    <pivotField showAll="0"/>
    <pivotField showAll="0"/>
    <pivotField showAll="0"/>
    <pivotField showAll="0"/>
    <pivotField showAll="0"/>
    <pivotField showAll="0"/>
    <pivotField showAll="0"/>
    <pivotField axis="axisRow" dataField="1" showAll="0">
      <items count="10">
        <item x="0"/>
        <item x="7"/>
        <item x="5"/>
        <item x="6"/>
        <item x="3"/>
        <item x="4"/>
        <item x="1"/>
        <item x="2"/>
        <item m="1" x="8"/>
        <item t="default"/>
      </items>
    </pivotField>
    <pivotField numFmtId="164" showAll="0"/>
    <pivotField numFmtId="9" showAll="0"/>
    <pivotField showAll="0"/>
    <pivotField showAll="0"/>
  </pivotFields>
  <rowFields count="1">
    <field x="11"/>
  </rowFields>
  <rowItems count="9">
    <i>
      <x/>
    </i>
    <i>
      <x v="1"/>
    </i>
    <i>
      <x v="2"/>
    </i>
    <i>
      <x v="3"/>
    </i>
    <i>
      <x v="4"/>
    </i>
    <i>
      <x v="5"/>
    </i>
    <i>
      <x v="6"/>
    </i>
    <i>
      <x v="7"/>
    </i>
    <i t="grand">
      <x/>
    </i>
  </rowItems>
  <colItems count="1">
    <i/>
  </colItems>
  <dataFields count="1">
    <dataField name="Count of Tournament Result" fld="11" subtotal="count" baseField="0" baseItem="0"/>
  </dataFields>
  <chartFormats count="9">
    <chartFormat chart="8" format="19" series="1">
      <pivotArea type="data" outline="0" fieldPosition="0">
        <references count="1">
          <reference field="4294967294" count="1" selected="0">
            <x v="0"/>
          </reference>
        </references>
      </pivotArea>
    </chartFormat>
    <chartFormat chart="8" format="20">
      <pivotArea type="data" outline="0" fieldPosition="0">
        <references count="2">
          <reference field="4294967294" count="1" selected="0">
            <x v="0"/>
          </reference>
          <reference field="11" count="1" selected="0">
            <x v="0"/>
          </reference>
        </references>
      </pivotArea>
    </chartFormat>
    <chartFormat chart="8" format="21">
      <pivotArea type="data" outline="0" fieldPosition="0">
        <references count="2">
          <reference field="4294967294" count="1" selected="0">
            <x v="0"/>
          </reference>
          <reference field="11" count="1" selected="0">
            <x v="1"/>
          </reference>
        </references>
      </pivotArea>
    </chartFormat>
    <chartFormat chart="8" format="22">
      <pivotArea type="data" outline="0" fieldPosition="0">
        <references count="2">
          <reference field="4294967294" count="1" selected="0">
            <x v="0"/>
          </reference>
          <reference field="11" count="1" selected="0">
            <x v="2"/>
          </reference>
        </references>
      </pivotArea>
    </chartFormat>
    <chartFormat chart="8" format="23">
      <pivotArea type="data" outline="0" fieldPosition="0">
        <references count="2">
          <reference field="4294967294" count="1" selected="0">
            <x v="0"/>
          </reference>
          <reference field="11" count="1" selected="0">
            <x v="3"/>
          </reference>
        </references>
      </pivotArea>
    </chartFormat>
    <chartFormat chart="8" format="24">
      <pivotArea type="data" outline="0" fieldPosition="0">
        <references count="2">
          <reference field="4294967294" count="1" selected="0">
            <x v="0"/>
          </reference>
          <reference field="11" count="1" selected="0">
            <x v="4"/>
          </reference>
        </references>
      </pivotArea>
    </chartFormat>
    <chartFormat chart="8" format="25">
      <pivotArea type="data" outline="0" fieldPosition="0">
        <references count="2">
          <reference field="4294967294" count="1" selected="0">
            <x v="0"/>
          </reference>
          <reference field="11" count="1" selected="0">
            <x v="5"/>
          </reference>
        </references>
      </pivotArea>
    </chartFormat>
    <chartFormat chart="8" format="26">
      <pivotArea type="data" outline="0" fieldPosition="0">
        <references count="2">
          <reference field="4294967294" count="1" selected="0">
            <x v="0"/>
          </reference>
          <reference field="11" count="1" selected="0">
            <x v="6"/>
          </reference>
        </references>
      </pivotArea>
    </chartFormat>
    <chartFormat chart="8" format="27">
      <pivotArea type="data" outline="0" fieldPosition="0">
        <references count="2">
          <reference field="4294967294" count="1" selected="0">
            <x v="0"/>
          </reference>
          <reference field="11"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9ED94E-A8A5-4757-A5DB-4C6798971DD1}" name="PivotTable3"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K3:P8" firstHeaderRow="0" firstDataRow="1" firstDataCol="3"/>
  <pivotFields count="16">
    <pivotField axis="axisRow" compact="0" outline="0" showAll="0" defaultSubtotal="0">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s>
    </pivotField>
    <pivotField axis="axisRow" compact="0" outline="0" showAll="0" defaultSubtotal="0">
      <items count="49">
        <item x="29"/>
        <item x="1"/>
        <item x="21"/>
        <item x="27"/>
        <item x="5"/>
        <item x="28"/>
        <item x="10"/>
        <item x="13"/>
        <item x="31"/>
        <item x="9"/>
        <item x="19"/>
        <item x="41"/>
        <item x="38"/>
        <item x="22"/>
        <item x="24"/>
        <item x="14"/>
        <item x="2"/>
        <item x="3"/>
        <item x="17"/>
        <item x="23"/>
        <item x="44"/>
        <item x="32"/>
        <item x="47"/>
        <item x="18"/>
        <item x="20"/>
        <item x="43"/>
        <item x="8"/>
        <item x="6"/>
        <item x="16"/>
        <item x="39"/>
        <item x="4"/>
        <item x="42"/>
        <item x="15"/>
        <item x="12"/>
        <item x="40"/>
        <item x="37"/>
        <item x="35"/>
        <item x="30"/>
        <item x="25"/>
        <item x="33"/>
        <item x="0"/>
        <item x="26"/>
        <item x="7"/>
        <item x="46"/>
        <item x="34"/>
        <item x="11"/>
        <item x="36"/>
        <item x="45"/>
        <item m="1" x="48"/>
      </items>
    </pivotField>
    <pivotField axis="axisRow" compact="0" outline="0" showAll="0" defaultSubtotal="0">
      <items count="13">
        <item x="7"/>
        <item x="6"/>
        <item x="5"/>
        <item x="9"/>
        <item x="11"/>
        <item x="10"/>
        <item x="4"/>
        <item x="0"/>
        <item x="3"/>
        <item x="1"/>
        <item x="8"/>
        <item x="2"/>
        <item m="1" x="12"/>
      </items>
    </pivotField>
    <pivotField dataField="1"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items count="9">
        <item x="0"/>
        <item x="7"/>
        <item x="5"/>
        <item x="6"/>
        <item x="3"/>
        <item x="4"/>
        <item x="1"/>
        <item x="2"/>
        <item m="1" x="8"/>
      </items>
    </pivotField>
    <pivotField compact="0" numFmtId="164" outline="0" showAll="0" defaultSubtotal="0"/>
    <pivotField compact="0" numFmtId="9" outline="0" showAll="0" defaultSubtotal="0"/>
    <pivotField compact="0" outline="0" showAll="0" defaultSubtotal="0"/>
    <pivotField compact="0" outline="0" showAll="0" defaultSubtotal="0"/>
  </pivotFields>
  <rowFields count="3">
    <field x="0"/>
    <field x="1"/>
    <field x="2"/>
  </rowFields>
  <rowItems count="5">
    <i>
      <x/>
      <x v="40"/>
      <x v="7"/>
    </i>
    <i>
      <x v="1"/>
      <x v="1"/>
      <x v="9"/>
    </i>
    <i>
      <x v="2"/>
      <x v="16"/>
      <x v="11"/>
    </i>
    <i>
      <x v="3"/>
      <x v="17"/>
      <x v="8"/>
    </i>
    <i>
      <x v="4"/>
      <x v="30"/>
      <x v="8"/>
    </i>
  </rowItems>
  <colFields count="1">
    <field x="-2"/>
  </colFields>
  <colItems count="3">
    <i>
      <x/>
    </i>
    <i i="1">
      <x v="1"/>
    </i>
    <i i="2">
      <x v="2"/>
    </i>
  </colItems>
  <dataFields count="3">
    <dataField name="Sum of Played" fld="3" baseField="0" baseItem="0"/>
    <dataField name="Sum of Wins" fld="4" baseField="0" baseItem="0"/>
    <dataField name="Sum of Points" fld="10" baseField="0" baseItem="0"/>
  </dataFields>
  <pivotTableStyleInfo name="PivotStyleLight16" showRowHeaders="1" showColHeaders="1" showRowStripes="0" showColStripes="0" showLastColumn="1"/>
  <filters count="1">
    <filter fld="0" type="captionLessThanOrEqual" evalOrder="-1" id="2" stringValue1="5">
      <autoFilter ref="A1">
        <filterColumn colId="0">
          <customFilters>
            <customFilter operator="lessThanOrEqual" val="5"/>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97F0812-5DEA-4928-A66D-DB8C7C0DF4CB}"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B13" firstHeaderRow="1" firstDataRow="1" firstDataCol="1"/>
  <pivotFields count="16">
    <pivotField showAll="0"/>
    <pivotField axis="axisRow" showAll="0" measureFilter="1" sortType="descending">
      <items count="50">
        <item x="29"/>
        <item x="1"/>
        <item x="21"/>
        <item x="27"/>
        <item x="5"/>
        <item x="28"/>
        <item x="10"/>
        <item x="13"/>
        <item x="31"/>
        <item x="9"/>
        <item x="19"/>
        <item x="41"/>
        <item x="38"/>
        <item x="22"/>
        <item x="24"/>
        <item x="14"/>
        <item x="2"/>
        <item x="3"/>
        <item x="17"/>
        <item x="23"/>
        <item x="44"/>
        <item x="32"/>
        <item x="47"/>
        <item x="18"/>
        <item x="20"/>
        <item x="43"/>
        <item x="8"/>
        <item x="6"/>
        <item x="16"/>
        <item x="39"/>
        <item x="4"/>
        <item x="42"/>
        <item x="15"/>
        <item x="12"/>
        <item x="40"/>
        <item x="37"/>
        <item x="35"/>
        <item x="30"/>
        <item x="25"/>
        <item x="33"/>
        <item x="0"/>
        <item x="26"/>
        <item x="7"/>
        <item x="46"/>
        <item x="34"/>
        <item x="11"/>
        <item x="36"/>
        <item x="45"/>
        <item m="1" x="4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items count="10">
        <item x="0"/>
        <item x="7"/>
        <item x="5"/>
        <item x="6"/>
        <item x="3"/>
        <item x="4"/>
        <item x="1"/>
        <item x="2"/>
        <item m="1" x="8"/>
        <item t="default"/>
      </items>
    </pivotField>
    <pivotField numFmtId="164" showAll="0"/>
    <pivotField numFmtId="9" showAll="0"/>
    <pivotField showAll="0"/>
    <pivotField showAll="0"/>
  </pivotFields>
  <rowFields count="1">
    <field x="1"/>
  </rowFields>
  <rowItems count="10">
    <i>
      <x v="40"/>
    </i>
    <i>
      <x v="1"/>
    </i>
    <i>
      <x v="16"/>
    </i>
    <i>
      <x v="17"/>
    </i>
    <i>
      <x v="30"/>
    </i>
    <i>
      <x v="26"/>
    </i>
    <i>
      <x v="4"/>
    </i>
    <i>
      <x v="42"/>
    </i>
    <i>
      <x v="9"/>
    </i>
    <i>
      <x v="27"/>
    </i>
  </rowItems>
  <colItems count="1">
    <i/>
  </colItems>
  <dataFields count="1">
    <dataField name="Sum of Points" fld="10"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oup1" xr10:uid="{461700E4-4D80-41D5-AB08-D8EB7B47997C}" sourceName="Group">
  <pivotTables>
    <pivotTable tabId="8" name="PivotTable8"/>
  </pivotTables>
  <data>
    <tabular pivotCacheId="610331803">
      <items count="13">
        <i x="7" s="1"/>
        <i x="6" s="1"/>
        <i x="5" s="1"/>
        <i x="9" s="1"/>
        <i x="11" s="1"/>
        <i x="10" s="1"/>
        <i x="4" s="1"/>
        <i x="0" s="1"/>
        <i x="3" s="1"/>
        <i x="1" s="1"/>
        <i x="8" s="1"/>
        <i x="2" s="1"/>
        <i x="1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 xr10:uid="{E335890E-42D5-46EB-A3A0-882F206772DE}" sourceName="Team">
  <pivotTables>
    <pivotTable tabId="8" name="PivotTable8"/>
  </pivotTables>
  <data>
    <tabular pivotCacheId="610331803">
      <items count="49">
        <i x="29" s="1"/>
        <i x="1" s="1"/>
        <i x="21" s="1"/>
        <i x="27" s="1"/>
        <i x="5" s="1"/>
        <i x="28" s="1"/>
        <i x="10" s="1"/>
        <i x="13" s="1"/>
        <i x="31" s="1"/>
        <i x="9" s="1"/>
        <i x="19" s="1"/>
        <i x="41" s="1"/>
        <i x="38" s="1"/>
        <i x="22" s="1"/>
        <i x="24" s="1"/>
        <i x="14" s="1"/>
        <i x="2" s="1"/>
        <i x="3" s="1"/>
        <i x="17" s="1"/>
        <i x="23" s="1"/>
        <i x="44" s="1"/>
        <i x="32" s="1"/>
        <i x="47" s="1"/>
        <i x="18" s="1"/>
        <i x="20" s="1"/>
        <i x="43" s="1"/>
        <i x="8" s="1"/>
        <i x="6" s="1"/>
        <i x="16" s="1"/>
        <i x="39" s="1"/>
        <i x="4" s="1"/>
        <i x="42" s="1"/>
        <i x="15" s="1"/>
        <i x="12" s="1"/>
        <i x="40" s="1"/>
        <i x="37" s="1"/>
        <i x="35" s="1"/>
        <i x="30" s="1"/>
        <i x="25" s="1"/>
        <i x="33" s="1"/>
        <i x="0" s="1"/>
        <i x="26" s="1"/>
        <i x="7" s="1"/>
        <i x="46" s="1"/>
        <i x="34" s="1"/>
        <i x="11" s="1"/>
        <i x="36" s="1"/>
        <i x="45" s="1"/>
        <i x="48"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urnament_Result" xr10:uid="{40E6A0F0-5E5C-4B26-8192-E5FCBBCEF6D8}" sourceName="Tournament Result">
  <pivotTables>
    <pivotTable tabId="8" name="PivotTable8"/>
    <pivotTable tabId="8" name="PivotTable1"/>
    <pivotTable tabId="8" name="PivotTable10"/>
    <pivotTable tabId="8" name="PivotTable2"/>
  </pivotTables>
  <data>
    <tabular pivotCacheId="610331803">
      <items count="9">
        <i x="0" s="1"/>
        <i x="7" s="1"/>
        <i x="5" s="1"/>
        <i x="6" s="1"/>
        <i x="3" s="1"/>
        <i x="4" s="1"/>
        <i x="1" s="1"/>
        <i x="2" s="1"/>
        <i x="8"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roup" xr10:uid="{FAFBC5DA-2B37-4727-8B4F-53870628C6D4}" cache="Slicer_Group1" caption="Group" rowHeight="234950"/>
  <slicer name="Team" xr10:uid="{1E30D1E4-6F0D-4915-85B0-5DC0687406C0}" cache="Slicer_Team" caption="Team" rowHeight="234950"/>
  <slicer name="Tournament Result" xr10:uid="{88855165-E05B-414D-A075-E841C9788C38}" cache="Slicer_Tournament_Result" caption="Tournament Resul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tandings" displayName="Standings" ref="A2:P50">
  <tableColumns count="16">
    <tableColumn id="1" xr3:uid="{00000000-0010-0000-0000-000001000000}" name="Rank"/>
    <tableColumn id="2" xr3:uid="{00000000-0010-0000-0000-000002000000}" name="Team"/>
    <tableColumn id="3" xr3:uid="{00000000-0010-0000-0000-000003000000}" name="Group"/>
    <tableColumn id="4" xr3:uid="{00000000-0010-0000-0000-000004000000}" name="Played"/>
    <tableColumn id="5" xr3:uid="{00000000-0010-0000-0000-000005000000}" name="Wins"/>
    <tableColumn id="6" xr3:uid="{00000000-0010-0000-0000-000006000000}" name="Draws"/>
    <tableColumn id="7" xr3:uid="{00000000-0010-0000-0000-000007000000}" name="Losses"/>
    <tableColumn id="8" xr3:uid="{00000000-0010-0000-0000-000008000000}" name="GF"/>
    <tableColumn id="9" xr3:uid="{00000000-0010-0000-0000-000009000000}" name="GA"/>
    <tableColumn id="10" xr3:uid="{00000000-0010-0000-0000-00000A000000}" name="GD"/>
    <tableColumn id="11" xr3:uid="{00000000-0010-0000-0000-00000B000000}" name="Points"/>
    <tableColumn id="12" xr3:uid="{00000000-0010-0000-0000-00000C000000}" name="Tournament Result"/>
    <tableColumn id="13" xr3:uid="{00000000-0010-0000-0000-00000D000000}" name="Goal Efficiency" dataDxfId="2">
      <calculatedColumnFormula>IF(D3=0,0,H3/D3)</calculatedColumnFormula>
    </tableColumn>
    <tableColumn id="14" xr3:uid="{00000000-0010-0000-0000-00000E000000}" name="Win %" dataCellStyle="Percent">
      <calculatedColumnFormula>E3/D3</calculatedColumnFormula>
    </tableColumn>
    <tableColumn id="15" xr3:uid="{00000000-0010-0000-0000-00000F000000}" name="Attack" dataDxfId="1">
      <calculatedColumnFormula>IF(H3&gt;=15,"Excellent",IF(H3&gt;=10,"Good","Average"))</calculatedColumnFormula>
    </tableColumn>
    <tableColumn id="16" xr3:uid="{00000000-0010-0000-0000-000010000000}" name="Defense" dataDxfId="0">
      <calculatedColumnFormula>IF(I3&lt;=5,"Excellent",IF(I3&lt;=10,"Good","Average"))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2FB98-7FC8-4D1D-AE1E-7ED104769DEE}">
  <dimension ref="A3:P25"/>
  <sheetViews>
    <sheetView workbookViewId="0">
      <selection activeCell="K14" sqref="K14"/>
    </sheetView>
  </sheetViews>
  <sheetFormatPr defaultRowHeight="14.4" x14ac:dyDescent="0.3"/>
  <cols>
    <col min="1" max="1" width="21.6640625" bestFit="1" customWidth="1"/>
    <col min="2" max="2" width="25.109375" bestFit="1" customWidth="1"/>
    <col min="4" max="4" width="12.5546875" bestFit="1" customWidth="1"/>
    <col min="5" max="5" width="12.6640625" bestFit="1" customWidth="1"/>
    <col min="7" max="7" width="12.5546875" bestFit="1" customWidth="1"/>
    <col min="8" max="8" width="9.5546875" bestFit="1" customWidth="1"/>
    <col min="9" max="9" width="9.88671875" bestFit="1" customWidth="1"/>
    <col min="11" max="11" width="8.21875" customWidth="1"/>
    <col min="12" max="12" width="13.21875" bestFit="1" customWidth="1"/>
    <col min="13" max="13" width="8.44140625" bestFit="1" customWidth="1"/>
    <col min="14" max="14" width="13.21875" bestFit="1" customWidth="1"/>
    <col min="15" max="15" width="11.5546875" bestFit="1" customWidth="1"/>
    <col min="16" max="16" width="12.6640625" bestFit="1" customWidth="1"/>
  </cols>
  <sheetData>
    <row r="3" spans="1:16" x14ac:dyDescent="0.3">
      <c r="A3" s="13" t="s">
        <v>88</v>
      </c>
      <c r="B3" t="s">
        <v>89</v>
      </c>
      <c r="D3" s="13" t="s">
        <v>88</v>
      </c>
      <c r="E3" t="s">
        <v>89</v>
      </c>
      <c r="G3" s="13" t="s">
        <v>88</v>
      </c>
      <c r="H3" t="s">
        <v>14</v>
      </c>
      <c r="I3" t="s">
        <v>15</v>
      </c>
      <c r="K3" s="13" t="s">
        <v>29</v>
      </c>
      <c r="L3" s="13" t="s">
        <v>30</v>
      </c>
      <c r="M3" s="13" t="s">
        <v>0</v>
      </c>
      <c r="N3" t="s">
        <v>97</v>
      </c>
      <c r="O3" t="s">
        <v>98</v>
      </c>
      <c r="P3" t="s">
        <v>89</v>
      </c>
    </row>
    <row r="4" spans="1:16" x14ac:dyDescent="0.3">
      <c r="A4" s="9" t="s">
        <v>25</v>
      </c>
      <c r="B4">
        <v>22</v>
      </c>
      <c r="D4" s="9" t="s">
        <v>1</v>
      </c>
      <c r="E4">
        <v>20</v>
      </c>
      <c r="G4" s="9" t="s">
        <v>16</v>
      </c>
      <c r="H4">
        <v>19</v>
      </c>
      <c r="I4">
        <v>8</v>
      </c>
      <c r="K4">
        <v>1</v>
      </c>
      <c r="L4" t="s">
        <v>25</v>
      </c>
      <c r="M4" t="s">
        <v>8</v>
      </c>
      <c r="N4">
        <v>8</v>
      </c>
      <c r="O4">
        <v>7</v>
      </c>
      <c r="P4">
        <v>22</v>
      </c>
    </row>
    <row r="5" spans="1:16" x14ac:dyDescent="0.3">
      <c r="A5" s="9" t="s">
        <v>16</v>
      </c>
      <c r="B5">
        <v>21</v>
      </c>
      <c r="D5" s="9" t="s">
        <v>2</v>
      </c>
      <c r="E5">
        <v>23</v>
      </c>
      <c r="G5" s="9" t="s">
        <v>17</v>
      </c>
      <c r="H5">
        <v>14</v>
      </c>
      <c r="I5">
        <v>7</v>
      </c>
      <c r="K5">
        <v>2</v>
      </c>
      <c r="L5" t="s">
        <v>16</v>
      </c>
      <c r="M5" t="s">
        <v>10</v>
      </c>
      <c r="N5">
        <v>8</v>
      </c>
      <c r="O5">
        <v>7</v>
      </c>
      <c r="P5">
        <v>21</v>
      </c>
    </row>
    <row r="6" spans="1:16" x14ac:dyDescent="0.3">
      <c r="A6" s="9" t="s">
        <v>20</v>
      </c>
      <c r="B6">
        <v>19</v>
      </c>
      <c r="D6" s="9" t="s">
        <v>3</v>
      </c>
      <c r="E6">
        <v>24</v>
      </c>
      <c r="G6" s="9" t="s">
        <v>20</v>
      </c>
      <c r="H6">
        <v>20</v>
      </c>
      <c r="I6">
        <v>12</v>
      </c>
      <c r="K6">
        <v>3</v>
      </c>
      <c r="L6" t="s">
        <v>20</v>
      </c>
      <c r="M6" t="s">
        <v>12</v>
      </c>
      <c r="N6">
        <v>8</v>
      </c>
      <c r="O6">
        <v>6</v>
      </c>
      <c r="P6">
        <v>19</v>
      </c>
    </row>
    <row r="7" spans="1:16" x14ac:dyDescent="0.3">
      <c r="A7" s="9" t="s">
        <v>21</v>
      </c>
      <c r="B7">
        <v>18</v>
      </c>
      <c r="D7" s="9" t="s">
        <v>4</v>
      </c>
      <c r="E7">
        <v>22</v>
      </c>
      <c r="G7" s="9" t="s">
        <v>21</v>
      </c>
      <c r="H7">
        <v>20</v>
      </c>
      <c r="I7">
        <v>10</v>
      </c>
      <c r="K7">
        <v>4</v>
      </c>
      <c r="L7" t="s">
        <v>21</v>
      </c>
      <c r="M7" t="s">
        <v>9</v>
      </c>
      <c r="N7">
        <v>8</v>
      </c>
      <c r="O7">
        <v>6</v>
      </c>
      <c r="P7">
        <v>18</v>
      </c>
    </row>
    <row r="8" spans="1:16" x14ac:dyDescent="0.3">
      <c r="A8" s="9" t="s">
        <v>24</v>
      </c>
      <c r="B8">
        <v>12</v>
      </c>
      <c r="D8" s="9" t="s">
        <v>5</v>
      </c>
      <c r="E8">
        <v>18</v>
      </c>
      <c r="G8" s="9" t="s">
        <v>56</v>
      </c>
      <c r="H8">
        <v>11</v>
      </c>
      <c r="I8">
        <v>5</v>
      </c>
      <c r="K8">
        <v>5</v>
      </c>
      <c r="L8" t="s">
        <v>24</v>
      </c>
      <c r="M8" t="s">
        <v>9</v>
      </c>
      <c r="N8">
        <v>6</v>
      </c>
      <c r="O8">
        <v>4</v>
      </c>
      <c r="P8">
        <v>12</v>
      </c>
    </row>
    <row r="9" spans="1:16" x14ac:dyDescent="0.3">
      <c r="A9" s="9" t="s">
        <v>22</v>
      </c>
      <c r="B9">
        <v>12</v>
      </c>
      <c r="D9" s="9" t="s">
        <v>6</v>
      </c>
      <c r="E9">
        <v>17</v>
      </c>
      <c r="G9" s="9" t="s">
        <v>87</v>
      </c>
      <c r="H9">
        <v>12</v>
      </c>
      <c r="I9">
        <v>12</v>
      </c>
    </row>
    <row r="10" spans="1:16" x14ac:dyDescent="0.3">
      <c r="A10" s="9" t="s">
        <v>17</v>
      </c>
      <c r="B10">
        <v>11</v>
      </c>
      <c r="D10" s="9" t="s">
        <v>7</v>
      </c>
      <c r="E10">
        <v>21</v>
      </c>
      <c r="G10" s="9" t="s">
        <v>54</v>
      </c>
      <c r="H10">
        <v>11</v>
      </c>
      <c r="I10">
        <v>5</v>
      </c>
    </row>
    <row r="11" spans="1:16" x14ac:dyDescent="0.3">
      <c r="A11" s="9" t="s">
        <v>26</v>
      </c>
      <c r="B11">
        <v>11</v>
      </c>
      <c r="D11" s="9" t="s">
        <v>8</v>
      </c>
      <c r="E11">
        <v>29</v>
      </c>
      <c r="G11" s="9" t="s">
        <v>24</v>
      </c>
      <c r="H11">
        <v>13</v>
      </c>
      <c r="I11">
        <v>11</v>
      </c>
    </row>
    <row r="12" spans="1:16" x14ac:dyDescent="0.3">
      <c r="A12" s="9" t="s">
        <v>19</v>
      </c>
      <c r="B12">
        <v>11</v>
      </c>
      <c r="D12" s="9" t="s">
        <v>9</v>
      </c>
      <c r="E12">
        <v>33</v>
      </c>
      <c r="G12" s="9" t="s">
        <v>25</v>
      </c>
      <c r="H12">
        <v>14</v>
      </c>
      <c r="I12">
        <v>1</v>
      </c>
    </row>
    <row r="13" spans="1:16" x14ac:dyDescent="0.3">
      <c r="A13" s="9" t="s">
        <v>23</v>
      </c>
      <c r="B13">
        <v>11</v>
      </c>
      <c r="D13" s="9" t="s">
        <v>10</v>
      </c>
      <c r="E13">
        <v>29</v>
      </c>
      <c r="G13" s="9" t="s">
        <v>86</v>
      </c>
      <c r="H13">
        <v>12</v>
      </c>
      <c r="I13">
        <v>12</v>
      </c>
    </row>
    <row r="14" spans="1:16" x14ac:dyDescent="0.3">
      <c r="D14" s="9" t="s">
        <v>11</v>
      </c>
      <c r="E14">
        <v>23</v>
      </c>
      <c r="G14" s="9" t="s">
        <v>27</v>
      </c>
      <c r="H14">
        <v>11</v>
      </c>
      <c r="I14">
        <v>8</v>
      </c>
    </row>
    <row r="15" spans="1:16" x14ac:dyDescent="0.3">
      <c r="D15" s="9" t="s">
        <v>12</v>
      </c>
      <c r="E15">
        <v>29</v>
      </c>
      <c r="G15" s="9" t="s">
        <v>85</v>
      </c>
      <c r="H15">
        <v>11</v>
      </c>
      <c r="I15">
        <v>11</v>
      </c>
    </row>
    <row r="16" spans="1:16" x14ac:dyDescent="0.3">
      <c r="A16" s="13" t="s">
        <v>88</v>
      </c>
      <c r="B16" t="s">
        <v>92</v>
      </c>
      <c r="D16" s="9" t="s">
        <v>13</v>
      </c>
      <c r="E16">
        <v>288</v>
      </c>
      <c r="G16" s="9" t="s">
        <v>13</v>
      </c>
      <c r="H16">
        <v>168</v>
      </c>
      <c r="I16">
        <v>102</v>
      </c>
    </row>
    <row r="17" spans="1:2" x14ac:dyDescent="0.3">
      <c r="A17" s="9" t="s">
        <v>44</v>
      </c>
      <c r="B17">
        <v>1</v>
      </c>
    </row>
    <row r="18" spans="1:2" x14ac:dyDescent="0.3">
      <c r="A18" s="9" t="s">
        <v>72</v>
      </c>
      <c r="B18">
        <v>16</v>
      </c>
    </row>
    <row r="19" spans="1:2" x14ac:dyDescent="0.3">
      <c r="A19" s="9" t="s">
        <v>49</v>
      </c>
      <c r="B19">
        <v>8</v>
      </c>
    </row>
    <row r="20" spans="1:2" x14ac:dyDescent="0.3">
      <c r="A20" s="9" t="s">
        <v>55</v>
      </c>
      <c r="B20">
        <v>16</v>
      </c>
    </row>
    <row r="21" spans="1:2" x14ac:dyDescent="0.3">
      <c r="A21" s="9" t="s">
        <v>47</v>
      </c>
      <c r="B21">
        <v>1</v>
      </c>
    </row>
    <row r="22" spans="1:2" x14ac:dyDescent="0.3">
      <c r="A22" s="9" t="s">
        <v>48</v>
      </c>
      <c r="B22">
        <v>4</v>
      </c>
    </row>
    <row r="23" spans="1:2" x14ac:dyDescent="0.3">
      <c r="A23" s="9" t="s">
        <v>45</v>
      </c>
      <c r="B23">
        <v>1</v>
      </c>
    </row>
    <row r="24" spans="1:2" x14ac:dyDescent="0.3">
      <c r="A24" s="9" t="s">
        <v>46</v>
      </c>
      <c r="B24">
        <v>1</v>
      </c>
    </row>
    <row r="25" spans="1:2" x14ac:dyDescent="0.3">
      <c r="A25" s="9" t="s">
        <v>13</v>
      </c>
      <c r="B25">
        <v>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0"/>
  <sheetViews>
    <sheetView tabSelected="1" zoomScale="112" zoomScaleNormal="134" workbookViewId="0">
      <selection activeCell="B25" sqref="B25"/>
    </sheetView>
  </sheetViews>
  <sheetFormatPr defaultRowHeight="14.4" outlineLevelRow="2" x14ac:dyDescent="0.3"/>
  <cols>
    <col min="1" max="1" width="8" customWidth="1"/>
    <col min="2" max="2" width="22" customWidth="1"/>
    <col min="3" max="4" width="10" customWidth="1"/>
    <col min="5" max="7" width="8" customWidth="1"/>
    <col min="8" max="8" width="9.109375" customWidth="1"/>
    <col min="9" max="9" width="9.44140625" customWidth="1"/>
    <col min="10" max="10" width="9.6640625" customWidth="1"/>
    <col min="11" max="11" width="10" customWidth="1"/>
    <col min="12" max="12" width="22.6640625" customWidth="1"/>
    <col min="13" max="13" width="14.33203125" customWidth="1"/>
  </cols>
  <sheetData>
    <row r="1" spans="1:16" ht="21" customHeight="1" x14ac:dyDescent="0.4">
      <c r="A1" s="19" t="s">
        <v>28</v>
      </c>
      <c r="B1" s="20"/>
      <c r="C1" s="20"/>
      <c r="D1" s="20"/>
      <c r="E1" s="20"/>
      <c r="F1" s="20"/>
      <c r="G1" s="20"/>
      <c r="H1" s="20"/>
      <c r="I1" s="20"/>
      <c r="J1" s="20"/>
      <c r="K1" s="20"/>
      <c r="L1" s="20"/>
      <c r="M1" s="4"/>
      <c r="N1" s="3"/>
      <c r="O1" s="3"/>
      <c r="P1" s="3"/>
    </row>
    <row r="2" spans="1:16" x14ac:dyDescent="0.3">
      <c r="A2" s="1" t="s">
        <v>29</v>
      </c>
      <c r="B2" s="1" t="s">
        <v>30</v>
      </c>
      <c r="C2" s="1" t="s">
        <v>0</v>
      </c>
      <c r="D2" s="1" t="s">
        <v>31</v>
      </c>
      <c r="E2" s="2" t="s">
        <v>32</v>
      </c>
      <c r="F2" s="2" t="s">
        <v>33</v>
      </c>
      <c r="G2" s="2" t="s">
        <v>34</v>
      </c>
      <c r="H2" s="2" t="s">
        <v>35</v>
      </c>
      <c r="I2" s="2" t="s">
        <v>36</v>
      </c>
      <c r="J2" s="2" t="s">
        <v>37</v>
      </c>
      <c r="K2" s="1" t="s">
        <v>38</v>
      </c>
      <c r="L2" s="1" t="s">
        <v>39</v>
      </c>
      <c r="M2" s="6" t="s">
        <v>40</v>
      </c>
      <c r="N2" s="8" t="s">
        <v>41</v>
      </c>
      <c r="O2" s="5" t="s">
        <v>42</v>
      </c>
      <c r="P2" s="5" t="s">
        <v>43</v>
      </c>
    </row>
    <row r="3" spans="1:16" x14ac:dyDescent="0.3">
      <c r="A3">
        <v>1</v>
      </c>
      <c r="B3" t="s">
        <v>25</v>
      </c>
      <c r="C3" t="s">
        <v>8</v>
      </c>
      <c r="D3">
        <v>8</v>
      </c>
      <c r="E3">
        <v>7</v>
      </c>
      <c r="F3">
        <v>1</v>
      </c>
      <c r="G3">
        <v>0</v>
      </c>
      <c r="H3">
        <v>14</v>
      </c>
      <c r="I3">
        <v>1</v>
      </c>
      <c r="J3">
        <v>13</v>
      </c>
      <c r="K3">
        <v>22</v>
      </c>
      <c r="L3" s="10" t="s">
        <v>44</v>
      </c>
      <c r="M3" s="12">
        <f t="shared" ref="M3:M34" si="0">IF(D3=0,0,H3/D3)</f>
        <v>1.75</v>
      </c>
      <c r="N3" s="7">
        <f t="shared" ref="N3:N34" si="1">E3/D3</f>
        <v>0.875</v>
      </c>
      <c r="O3" t="str">
        <f t="shared" ref="O3:O34" si="2">IF(H3&gt;=15,"Excellent",IF(H3&gt;=10,"Good","Average"))</f>
        <v>Good</v>
      </c>
      <c r="P3" t="str">
        <f t="shared" ref="P3:P34" si="3">IF(I3&lt;=5,"Excellent",IF(I3&lt;=10,"Good","Average"))</f>
        <v>Excellent</v>
      </c>
    </row>
    <row r="4" spans="1:16" x14ac:dyDescent="0.3">
      <c r="A4">
        <v>2</v>
      </c>
      <c r="B4" t="s">
        <v>16</v>
      </c>
      <c r="C4" t="s">
        <v>10</v>
      </c>
      <c r="D4">
        <v>8</v>
      </c>
      <c r="E4">
        <v>7</v>
      </c>
      <c r="F4">
        <v>0</v>
      </c>
      <c r="G4">
        <v>1</v>
      </c>
      <c r="H4">
        <v>19</v>
      </c>
      <c r="I4">
        <v>8</v>
      </c>
      <c r="J4">
        <v>11</v>
      </c>
      <c r="K4">
        <v>21</v>
      </c>
      <c r="L4" s="10" t="s">
        <v>45</v>
      </c>
      <c r="M4" s="12">
        <f t="shared" si="0"/>
        <v>2.375</v>
      </c>
      <c r="N4" s="7">
        <f t="shared" si="1"/>
        <v>0.875</v>
      </c>
      <c r="O4" t="str">
        <f t="shared" si="2"/>
        <v>Excellent</v>
      </c>
      <c r="P4" t="str">
        <f t="shared" si="3"/>
        <v>Good</v>
      </c>
    </row>
    <row r="5" spans="1:16" x14ac:dyDescent="0.3">
      <c r="A5">
        <v>3</v>
      </c>
      <c r="B5" t="s">
        <v>20</v>
      </c>
      <c r="C5" t="s">
        <v>12</v>
      </c>
      <c r="D5">
        <v>8</v>
      </c>
      <c r="E5">
        <v>6</v>
      </c>
      <c r="F5">
        <v>1</v>
      </c>
      <c r="G5">
        <v>1</v>
      </c>
      <c r="H5">
        <v>20</v>
      </c>
      <c r="I5">
        <v>12</v>
      </c>
      <c r="J5">
        <v>8</v>
      </c>
      <c r="K5">
        <v>19</v>
      </c>
      <c r="L5" s="10" t="s">
        <v>46</v>
      </c>
      <c r="M5" s="12">
        <f t="shared" si="0"/>
        <v>2.5</v>
      </c>
      <c r="N5" s="7">
        <f t="shared" si="1"/>
        <v>0.75</v>
      </c>
      <c r="O5" t="str">
        <f t="shared" si="2"/>
        <v>Excellent</v>
      </c>
      <c r="P5" t="str">
        <f t="shared" si="3"/>
        <v>Average</v>
      </c>
    </row>
    <row r="6" spans="1:16" x14ac:dyDescent="0.3">
      <c r="A6">
        <v>4</v>
      </c>
      <c r="B6" t="s">
        <v>21</v>
      </c>
      <c r="C6" t="s">
        <v>9</v>
      </c>
      <c r="D6">
        <v>8</v>
      </c>
      <c r="E6">
        <v>6</v>
      </c>
      <c r="F6">
        <v>0</v>
      </c>
      <c r="G6">
        <v>2</v>
      </c>
      <c r="H6">
        <v>20</v>
      </c>
      <c r="I6">
        <v>10</v>
      </c>
      <c r="J6">
        <v>10</v>
      </c>
      <c r="K6">
        <v>18</v>
      </c>
      <c r="L6" s="10" t="s">
        <v>47</v>
      </c>
      <c r="M6" s="12">
        <f t="shared" si="0"/>
        <v>2.5</v>
      </c>
      <c r="N6" s="7">
        <f t="shared" si="1"/>
        <v>0.75</v>
      </c>
      <c r="O6" t="str">
        <f t="shared" si="2"/>
        <v>Excellent</v>
      </c>
      <c r="P6" t="str">
        <f t="shared" si="3"/>
        <v>Good</v>
      </c>
    </row>
    <row r="7" spans="1:16" outlineLevel="2" x14ac:dyDescent="0.3">
      <c r="A7">
        <v>5</v>
      </c>
      <c r="B7" t="s">
        <v>24</v>
      </c>
      <c r="C7" t="s">
        <v>9</v>
      </c>
      <c r="D7">
        <v>6</v>
      </c>
      <c r="E7">
        <v>4</v>
      </c>
      <c r="F7">
        <v>0</v>
      </c>
      <c r="G7">
        <v>2</v>
      </c>
      <c r="H7">
        <v>13</v>
      </c>
      <c r="I7">
        <v>11</v>
      </c>
      <c r="J7">
        <v>2</v>
      </c>
      <c r="K7">
        <v>12</v>
      </c>
      <c r="L7" s="10" t="s">
        <v>48</v>
      </c>
      <c r="M7" s="12">
        <f t="shared" si="0"/>
        <v>2.1666666666666665</v>
      </c>
      <c r="N7" s="7">
        <f t="shared" si="1"/>
        <v>0.66666666666666663</v>
      </c>
      <c r="O7" t="str">
        <f t="shared" si="2"/>
        <v>Good</v>
      </c>
      <c r="P7" t="str">
        <f t="shared" si="3"/>
        <v>Average</v>
      </c>
    </row>
    <row r="8" spans="1:16" outlineLevel="2" x14ac:dyDescent="0.3">
      <c r="A8">
        <v>6</v>
      </c>
      <c r="B8" t="s">
        <v>17</v>
      </c>
      <c r="C8" t="s">
        <v>7</v>
      </c>
      <c r="D8">
        <v>6</v>
      </c>
      <c r="E8">
        <v>3</v>
      </c>
      <c r="F8">
        <v>2</v>
      </c>
      <c r="G8">
        <v>1</v>
      </c>
      <c r="H8">
        <v>14</v>
      </c>
      <c r="I8">
        <v>7</v>
      </c>
      <c r="J8">
        <v>7</v>
      </c>
      <c r="K8">
        <v>11</v>
      </c>
      <c r="L8" s="10" t="s">
        <v>48</v>
      </c>
      <c r="M8" s="12">
        <f t="shared" si="0"/>
        <v>2.3333333333333335</v>
      </c>
      <c r="N8" s="7">
        <f t="shared" si="1"/>
        <v>0.5</v>
      </c>
      <c r="O8" t="str">
        <f t="shared" si="2"/>
        <v>Good</v>
      </c>
      <c r="P8" t="str">
        <f t="shared" si="3"/>
        <v>Good</v>
      </c>
    </row>
    <row r="9" spans="1:16" outlineLevel="2" x14ac:dyDescent="0.3">
      <c r="A9">
        <v>7</v>
      </c>
      <c r="B9" t="s">
        <v>23</v>
      </c>
      <c r="C9" t="s">
        <v>3</v>
      </c>
      <c r="D9">
        <v>6</v>
      </c>
      <c r="E9">
        <v>3</v>
      </c>
      <c r="F9">
        <v>2</v>
      </c>
      <c r="G9">
        <v>1</v>
      </c>
      <c r="H9">
        <v>10</v>
      </c>
      <c r="I9">
        <v>6</v>
      </c>
      <c r="J9">
        <v>4</v>
      </c>
      <c r="K9">
        <v>11</v>
      </c>
      <c r="L9" s="10" t="s">
        <v>48</v>
      </c>
      <c r="M9" s="12">
        <f t="shared" si="0"/>
        <v>1.6666666666666667</v>
      </c>
      <c r="N9" s="7">
        <f t="shared" si="1"/>
        <v>0.5</v>
      </c>
      <c r="O9" t="str">
        <f t="shared" si="2"/>
        <v>Good</v>
      </c>
      <c r="P9" t="str">
        <f t="shared" si="3"/>
        <v>Good</v>
      </c>
    </row>
    <row r="10" spans="1:16" outlineLevel="2" x14ac:dyDescent="0.3">
      <c r="A10">
        <v>7</v>
      </c>
      <c r="B10" t="s">
        <v>26</v>
      </c>
      <c r="C10" t="s">
        <v>2</v>
      </c>
      <c r="D10">
        <v>6</v>
      </c>
      <c r="E10">
        <v>3</v>
      </c>
      <c r="F10">
        <v>2</v>
      </c>
      <c r="G10">
        <v>1</v>
      </c>
      <c r="H10">
        <v>10</v>
      </c>
      <c r="I10">
        <v>6</v>
      </c>
      <c r="J10">
        <v>4</v>
      </c>
      <c r="K10">
        <v>11</v>
      </c>
      <c r="L10" s="10" t="s">
        <v>48</v>
      </c>
      <c r="M10" s="12">
        <f t="shared" si="0"/>
        <v>1.6666666666666667</v>
      </c>
      <c r="N10" s="7">
        <f t="shared" si="1"/>
        <v>0.5</v>
      </c>
      <c r="O10" t="str">
        <f t="shared" si="2"/>
        <v>Good</v>
      </c>
      <c r="P10" t="str">
        <f t="shared" si="3"/>
        <v>Good</v>
      </c>
    </row>
    <row r="11" spans="1:16" x14ac:dyDescent="0.3">
      <c r="A11">
        <v>9</v>
      </c>
      <c r="B11" t="s">
        <v>22</v>
      </c>
      <c r="C11" t="s">
        <v>1</v>
      </c>
      <c r="D11">
        <v>5</v>
      </c>
      <c r="E11">
        <v>4</v>
      </c>
      <c r="F11">
        <v>0</v>
      </c>
      <c r="G11">
        <v>1</v>
      </c>
      <c r="H11">
        <v>10</v>
      </c>
      <c r="I11">
        <v>3</v>
      </c>
      <c r="J11">
        <v>7</v>
      </c>
      <c r="K11">
        <v>12</v>
      </c>
      <c r="L11" s="10" t="s">
        <v>49</v>
      </c>
      <c r="M11" s="12">
        <f t="shared" si="0"/>
        <v>2</v>
      </c>
      <c r="N11" s="7">
        <f t="shared" si="1"/>
        <v>0.8</v>
      </c>
      <c r="O11" t="str">
        <f t="shared" si="2"/>
        <v>Good</v>
      </c>
      <c r="P11" t="str">
        <f t="shared" si="3"/>
        <v>Excellent</v>
      </c>
    </row>
    <row r="12" spans="1:16" x14ac:dyDescent="0.3">
      <c r="A12">
        <v>10</v>
      </c>
      <c r="B12" t="s">
        <v>19</v>
      </c>
      <c r="C12" t="s">
        <v>11</v>
      </c>
      <c r="D12">
        <v>5</v>
      </c>
      <c r="E12">
        <v>3</v>
      </c>
      <c r="F12">
        <v>2</v>
      </c>
      <c r="G12">
        <v>0</v>
      </c>
      <c r="H12">
        <v>5</v>
      </c>
      <c r="I12">
        <v>1</v>
      </c>
      <c r="J12">
        <v>4</v>
      </c>
      <c r="K12">
        <v>11</v>
      </c>
      <c r="L12" s="10" t="s">
        <v>49</v>
      </c>
      <c r="M12" s="12">
        <f t="shared" si="0"/>
        <v>1</v>
      </c>
      <c r="N12" s="7">
        <f t="shared" si="1"/>
        <v>0.6</v>
      </c>
      <c r="O12" t="str">
        <f t="shared" si="2"/>
        <v>Average</v>
      </c>
      <c r="P12" t="str">
        <f t="shared" si="3"/>
        <v>Excellent</v>
      </c>
    </row>
    <row r="13" spans="1:16" x14ac:dyDescent="0.3">
      <c r="A13">
        <v>11</v>
      </c>
      <c r="B13" t="s">
        <v>18</v>
      </c>
      <c r="C13" t="s">
        <v>3</v>
      </c>
      <c r="D13">
        <v>5</v>
      </c>
      <c r="E13">
        <v>3</v>
      </c>
      <c r="F13">
        <v>1</v>
      </c>
      <c r="G13">
        <v>1</v>
      </c>
      <c r="H13">
        <v>10</v>
      </c>
      <c r="I13">
        <v>4</v>
      </c>
      <c r="J13">
        <v>6</v>
      </c>
      <c r="K13">
        <v>10</v>
      </c>
      <c r="L13" s="10" t="s">
        <v>49</v>
      </c>
      <c r="M13" s="12">
        <f t="shared" si="0"/>
        <v>2</v>
      </c>
      <c r="N13" s="7">
        <f t="shared" si="1"/>
        <v>0.6</v>
      </c>
      <c r="O13" t="str">
        <f t="shared" si="2"/>
        <v>Good</v>
      </c>
      <c r="P13" t="str">
        <f t="shared" si="3"/>
        <v>Excellent</v>
      </c>
    </row>
    <row r="14" spans="1:16" x14ac:dyDescent="0.3">
      <c r="A14">
        <v>12</v>
      </c>
      <c r="B14" t="s">
        <v>27</v>
      </c>
      <c r="C14" t="s">
        <v>4</v>
      </c>
      <c r="D14">
        <v>5</v>
      </c>
      <c r="E14">
        <v>3</v>
      </c>
      <c r="F14">
        <v>0</v>
      </c>
      <c r="G14">
        <v>2</v>
      </c>
      <c r="H14">
        <v>11</v>
      </c>
      <c r="I14">
        <v>8</v>
      </c>
      <c r="J14">
        <v>3</v>
      </c>
      <c r="K14">
        <v>9</v>
      </c>
      <c r="L14" s="10" t="s">
        <v>49</v>
      </c>
      <c r="M14" s="12">
        <f t="shared" si="0"/>
        <v>2.2000000000000002</v>
      </c>
      <c r="N14" s="7">
        <f t="shared" si="1"/>
        <v>0.6</v>
      </c>
      <c r="O14" t="str">
        <f t="shared" si="2"/>
        <v>Good</v>
      </c>
      <c r="P14" t="str">
        <f t="shared" si="3"/>
        <v>Good</v>
      </c>
    </row>
    <row r="15" spans="1:16" x14ac:dyDescent="0.3">
      <c r="A15">
        <v>13</v>
      </c>
      <c r="B15" t="s">
        <v>50</v>
      </c>
      <c r="C15" t="s">
        <v>11</v>
      </c>
      <c r="D15">
        <v>5</v>
      </c>
      <c r="E15">
        <v>2</v>
      </c>
      <c r="F15">
        <v>2</v>
      </c>
      <c r="G15">
        <v>1</v>
      </c>
      <c r="H15">
        <v>8</v>
      </c>
      <c r="I15">
        <v>3</v>
      </c>
      <c r="J15">
        <v>5</v>
      </c>
      <c r="K15">
        <v>8</v>
      </c>
      <c r="L15" s="10" t="s">
        <v>49</v>
      </c>
      <c r="M15" s="12">
        <f t="shared" si="0"/>
        <v>1.6</v>
      </c>
      <c r="N15" s="7">
        <f t="shared" si="1"/>
        <v>0.4</v>
      </c>
      <c r="O15" t="str">
        <f t="shared" si="2"/>
        <v>Average</v>
      </c>
      <c r="P15" t="str">
        <f t="shared" si="3"/>
        <v>Excellent</v>
      </c>
    </row>
    <row r="16" spans="1:16" x14ac:dyDescent="0.3">
      <c r="A16">
        <v>14</v>
      </c>
      <c r="B16" t="s">
        <v>51</v>
      </c>
      <c r="C16" t="s">
        <v>2</v>
      </c>
      <c r="D16">
        <v>5</v>
      </c>
      <c r="E16">
        <v>2</v>
      </c>
      <c r="F16">
        <v>1</v>
      </c>
      <c r="G16">
        <v>2</v>
      </c>
      <c r="H16">
        <v>9</v>
      </c>
      <c r="I16">
        <v>6</v>
      </c>
      <c r="J16">
        <v>3</v>
      </c>
      <c r="K16">
        <v>7</v>
      </c>
      <c r="L16" s="10" t="s">
        <v>49</v>
      </c>
      <c r="M16" s="12">
        <f t="shared" si="0"/>
        <v>1.8</v>
      </c>
      <c r="N16" s="7">
        <f t="shared" si="1"/>
        <v>0.4</v>
      </c>
      <c r="O16" t="str">
        <f t="shared" si="2"/>
        <v>Average</v>
      </c>
      <c r="P16" t="str">
        <f t="shared" si="3"/>
        <v>Good</v>
      </c>
    </row>
    <row r="17" spans="1:16" x14ac:dyDescent="0.3">
      <c r="A17">
        <v>15</v>
      </c>
      <c r="B17" t="s">
        <v>52</v>
      </c>
      <c r="C17" t="s">
        <v>7</v>
      </c>
      <c r="D17">
        <v>5</v>
      </c>
      <c r="E17">
        <v>1</v>
      </c>
      <c r="F17">
        <v>3</v>
      </c>
      <c r="G17">
        <v>1</v>
      </c>
      <c r="H17">
        <v>8</v>
      </c>
      <c r="I17">
        <v>7</v>
      </c>
      <c r="J17">
        <v>1</v>
      </c>
      <c r="K17">
        <v>6</v>
      </c>
      <c r="L17" s="10" t="s">
        <v>49</v>
      </c>
      <c r="M17" s="12">
        <f t="shared" si="0"/>
        <v>1.6</v>
      </c>
      <c r="N17" s="7">
        <f t="shared" si="1"/>
        <v>0.2</v>
      </c>
      <c r="O17" t="str">
        <f t="shared" si="2"/>
        <v>Average</v>
      </c>
      <c r="P17" t="str">
        <f t="shared" si="3"/>
        <v>Good</v>
      </c>
    </row>
    <row r="18" spans="1:16" x14ac:dyDescent="0.3">
      <c r="A18">
        <v>16</v>
      </c>
      <c r="B18" t="s">
        <v>53</v>
      </c>
      <c r="C18" t="s">
        <v>4</v>
      </c>
      <c r="D18">
        <v>4</v>
      </c>
      <c r="E18">
        <v>1</v>
      </c>
      <c r="F18">
        <v>2</v>
      </c>
      <c r="G18">
        <v>2</v>
      </c>
      <c r="H18">
        <v>3</v>
      </c>
      <c r="I18">
        <v>6</v>
      </c>
      <c r="J18">
        <v>-3</v>
      </c>
      <c r="K18">
        <v>5</v>
      </c>
      <c r="L18" s="10" t="s">
        <v>49</v>
      </c>
      <c r="M18" s="12">
        <f t="shared" si="0"/>
        <v>0.75</v>
      </c>
      <c r="N18" s="7">
        <f t="shared" si="1"/>
        <v>0.25</v>
      </c>
      <c r="O18" t="str">
        <f t="shared" si="2"/>
        <v>Average</v>
      </c>
      <c r="P18" t="str">
        <f t="shared" si="3"/>
        <v>Good</v>
      </c>
    </row>
    <row r="19" spans="1:16" x14ac:dyDescent="0.3">
      <c r="A19">
        <v>17</v>
      </c>
      <c r="B19" t="s">
        <v>54</v>
      </c>
      <c r="C19" t="s">
        <v>6</v>
      </c>
      <c r="D19">
        <v>4</v>
      </c>
      <c r="E19">
        <v>2</v>
      </c>
      <c r="F19">
        <v>2</v>
      </c>
      <c r="G19">
        <v>0</v>
      </c>
      <c r="H19">
        <v>11</v>
      </c>
      <c r="I19">
        <v>5</v>
      </c>
      <c r="J19">
        <v>6</v>
      </c>
      <c r="K19">
        <v>8</v>
      </c>
      <c r="L19" s="10" t="s">
        <v>55</v>
      </c>
      <c r="M19" s="12">
        <f t="shared" si="0"/>
        <v>2.75</v>
      </c>
      <c r="N19" s="7">
        <f t="shared" si="1"/>
        <v>0.5</v>
      </c>
      <c r="O19" t="str">
        <f t="shared" si="2"/>
        <v>Good</v>
      </c>
      <c r="P19" t="str">
        <f t="shared" si="3"/>
        <v>Excellent</v>
      </c>
    </row>
    <row r="20" spans="1:16" x14ac:dyDescent="0.3">
      <c r="A20">
        <v>18</v>
      </c>
      <c r="B20" t="s">
        <v>56</v>
      </c>
      <c r="C20" t="s">
        <v>5</v>
      </c>
      <c r="D20">
        <v>4</v>
      </c>
      <c r="E20">
        <v>2</v>
      </c>
      <c r="F20">
        <v>1</v>
      </c>
      <c r="G20">
        <v>1</v>
      </c>
      <c r="H20">
        <v>11</v>
      </c>
      <c r="I20">
        <v>5</v>
      </c>
      <c r="J20">
        <v>6</v>
      </c>
      <c r="K20">
        <v>7</v>
      </c>
      <c r="L20" s="10" t="s">
        <v>55</v>
      </c>
      <c r="M20" s="12">
        <f t="shared" si="0"/>
        <v>2.75</v>
      </c>
      <c r="N20" s="7">
        <f t="shared" si="1"/>
        <v>0.5</v>
      </c>
      <c r="O20" t="str">
        <f t="shared" si="2"/>
        <v>Good</v>
      </c>
      <c r="P20" t="str">
        <f t="shared" si="3"/>
        <v>Excellent</v>
      </c>
    </row>
    <row r="21" spans="1:16" x14ac:dyDescent="0.3">
      <c r="A21">
        <v>19</v>
      </c>
      <c r="B21" t="s">
        <v>57</v>
      </c>
      <c r="C21" t="s">
        <v>5</v>
      </c>
      <c r="D21">
        <v>4</v>
      </c>
      <c r="E21">
        <v>2</v>
      </c>
      <c r="F21">
        <v>0</v>
      </c>
      <c r="G21">
        <v>2</v>
      </c>
      <c r="H21">
        <v>5</v>
      </c>
      <c r="I21">
        <v>4</v>
      </c>
      <c r="J21">
        <v>1</v>
      </c>
      <c r="K21">
        <v>6</v>
      </c>
      <c r="L21" s="10" t="s">
        <v>55</v>
      </c>
      <c r="M21" s="12">
        <f t="shared" si="0"/>
        <v>1.25</v>
      </c>
      <c r="N21" s="7">
        <f t="shared" si="1"/>
        <v>0.5</v>
      </c>
      <c r="O21" t="str">
        <f t="shared" si="2"/>
        <v>Average</v>
      </c>
      <c r="P21" t="str">
        <f t="shared" si="3"/>
        <v>Excellent</v>
      </c>
    </row>
    <row r="22" spans="1:16" x14ac:dyDescent="0.3">
      <c r="A22">
        <v>20</v>
      </c>
      <c r="B22" t="s">
        <v>58</v>
      </c>
      <c r="C22" t="s">
        <v>12</v>
      </c>
      <c r="D22">
        <v>4</v>
      </c>
      <c r="E22">
        <v>2</v>
      </c>
      <c r="F22">
        <v>0</v>
      </c>
      <c r="G22">
        <v>2</v>
      </c>
      <c r="H22">
        <v>6</v>
      </c>
      <c r="I22">
        <v>7</v>
      </c>
      <c r="J22">
        <v>-1</v>
      </c>
      <c r="K22">
        <v>6</v>
      </c>
      <c r="L22" s="10" t="s">
        <v>55</v>
      </c>
      <c r="M22" s="12">
        <f t="shared" si="0"/>
        <v>1.5</v>
      </c>
      <c r="N22" s="7">
        <f t="shared" si="1"/>
        <v>0.5</v>
      </c>
      <c r="O22" t="str">
        <f t="shared" si="2"/>
        <v>Average</v>
      </c>
      <c r="P22" t="str">
        <f t="shared" si="3"/>
        <v>Good</v>
      </c>
    </row>
    <row r="23" spans="1:16" x14ac:dyDescent="0.3">
      <c r="A23">
        <v>21</v>
      </c>
      <c r="B23" t="s">
        <v>59</v>
      </c>
      <c r="C23" t="s">
        <v>6</v>
      </c>
      <c r="D23">
        <v>4</v>
      </c>
      <c r="E23">
        <v>1</v>
      </c>
      <c r="F23">
        <v>2</v>
      </c>
      <c r="G23">
        <v>1</v>
      </c>
      <c r="H23">
        <v>8</v>
      </c>
      <c r="I23">
        <v>5</v>
      </c>
      <c r="J23">
        <v>3</v>
      </c>
      <c r="K23">
        <v>5</v>
      </c>
      <c r="L23" s="10" t="s">
        <v>55</v>
      </c>
      <c r="M23" s="12">
        <f t="shared" si="0"/>
        <v>2</v>
      </c>
      <c r="N23" s="7">
        <f t="shared" si="1"/>
        <v>0.25</v>
      </c>
      <c r="O23" t="str">
        <f t="shared" si="2"/>
        <v>Average</v>
      </c>
      <c r="P23" t="str">
        <f t="shared" si="3"/>
        <v>Excellent</v>
      </c>
    </row>
    <row r="24" spans="1:16" x14ac:dyDescent="0.3">
      <c r="A24">
        <v>22</v>
      </c>
      <c r="B24" t="s">
        <v>60</v>
      </c>
      <c r="C24" t="s">
        <v>4</v>
      </c>
      <c r="D24">
        <v>4</v>
      </c>
      <c r="E24">
        <v>1</v>
      </c>
      <c r="F24">
        <v>2</v>
      </c>
      <c r="G24">
        <v>1</v>
      </c>
      <c r="H24">
        <v>3</v>
      </c>
      <c r="I24">
        <v>3</v>
      </c>
      <c r="J24">
        <v>0</v>
      </c>
      <c r="K24">
        <v>5</v>
      </c>
      <c r="L24" s="10" t="s">
        <v>55</v>
      </c>
      <c r="M24" s="12">
        <f t="shared" si="0"/>
        <v>0.75</v>
      </c>
      <c r="N24" s="7">
        <f t="shared" si="1"/>
        <v>0.25</v>
      </c>
      <c r="O24" t="str">
        <f t="shared" si="2"/>
        <v>Average</v>
      </c>
      <c r="P24" t="str">
        <f t="shared" si="3"/>
        <v>Excellent</v>
      </c>
    </row>
    <row r="25" spans="1:16" x14ac:dyDescent="0.3">
      <c r="A25">
        <v>23</v>
      </c>
      <c r="B25" t="s">
        <v>61</v>
      </c>
      <c r="C25" t="s">
        <v>11</v>
      </c>
      <c r="D25">
        <v>4</v>
      </c>
      <c r="E25">
        <v>1</v>
      </c>
      <c r="F25">
        <v>1</v>
      </c>
      <c r="G25">
        <v>2</v>
      </c>
      <c r="H25">
        <v>5</v>
      </c>
      <c r="I25">
        <v>5</v>
      </c>
      <c r="J25">
        <v>0</v>
      </c>
      <c r="K25">
        <v>4</v>
      </c>
      <c r="L25" s="10" t="s">
        <v>55</v>
      </c>
      <c r="M25" s="12">
        <f t="shared" si="0"/>
        <v>1.25</v>
      </c>
      <c r="N25" s="7">
        <f t="shared" si="1"/>
        <v>0.25</v>
      </c>
      <c r="O25" t="str">
        <f t="shared" si="2"/>
        <v>Average</v>
      </c>
      <c r="P25" t="str">
        <f t="shared" si="3"/>
        <v>Excellent</v>
      </c>
    </row>
    <row r="26" spans="1:16" x14ac:dyDescent="0.3">
      <c r="A26">
        <v>24</v>
      </c>
      <c r="B26" t="s">
        <v>62</v>
      </c>
      <c r="C26" t="s">
        <v>12</v>
      </c>
      <c r="D26">
        <v>4</v>
      </c>
      <c r="E26">
        <v>1</v>
      </c>
      <c r="F26">
        <v>1</v>
      </c>
      <c r="G26">
        <v>2</v>
      </c>
      <c r="H26">
        <v>2</v>
      </c>
      <c r="I26">
        <v>3</v>
      </c>
      <c r="J26">
        <v>-1</v>
      </c>
      <c r="K26">
        <v>4</v>
      </c>
      <c r="L26" s="10" t="s">
        <v>55</v>
      </c>
      <c r="M26" s="12">
        <f t="shared" si="0"/>
        <v>0.5</v>
      </c>
      <c r="N26" s="7">
        <f t="shared" si="1"/>
        <v>0.25</v>
      </c>
      <c r="O26" t="str">
        <f t="shared" si="2"/>
        <v>Average</v>
      </c>
      <c r="P26" t="str">
        <f t="shared" si="3"/>
        <v>Excellent</v>
      </c>
    </row>
    <row r="27" spans="1:16" x14ac:dyDescent="0.3">
      <c r="A27">
        <v>25</v>
      </c>
      <c r="B27" t="s">
        <v>63</v>
      </c>
      <c r="C27" t="s">
        <v>5</v>
      </c>
      <c r="D27">
        <v>4</v>
      </c>
      <c r="E27">
        <v>1</v>
      </c>
      <c r="F27">
        <v>1</v>
      </c>
      <c r="G27">
        <v>2</v>
      </c>
      <c r="H27">
        <v>2</v>
      </c>
      <c r="I27">
        <v>4</v>
      </c>
      <c r="J27">
        <v>-2</v>
      </c>
      <c r="K27">
        <v>4</v>
      </c>
      <c r="L27" s="10" t="s">
        <v>55</v>
      </c>
      <c r="M27" s="12">
        <f t="shared" si="0"/>
        <v>0.5</v>
      </c>
      <c r="N27" s="7">
        <f t="shared" si="1"/>
        <v>0.25</v>
      </c>
      <c r="O27" t="str">
        <f t="shared" si="2"/>
        <v>Average</v>
      </c>
      <c r="P27" t="str">
        <f t="shared" si="3"/>
        <v>Excellent</v>
      </c>
    </row>
    <row r="28" spans="1:16" x14ac:dyDescent="0.3">
      <c r="A28">
        <v>26</v>
      </c>
      <c r="B28" t="s">
        <v>64</v>
      </c>
      <c r="C28" t="s">
        <v>1</v>
      </c>
      <c r="D28">
        <v>4</v>
      </c>
      <c r="E28">
        <v>1</v>
      </c>
      <c r="F28">
        <v>1</v>
      </c>
      <c r="G28">
        <v>2</v>
      </c>
      <c r="H28">
        <v>2</v>
      </c>
      <c r="I28">
        <v>4</v>
      </c>
      <c r="J28">
        <v>-2</v>
      </c>
      <c r="K28">
        <v>4</v>
      </c>
      <c r="L28" s="10" t="s">
        <v>55</v>
      </c>
      <c r="M28" s="12">
        <f t="shared" si="0"/>
        <v>0.5</v>
      </c>
      <c r="N28" s="7">
        <f t="shared" si="1"/>
        <v>0.25</v>
      </c>
      <c r="O28" t="str">
        <f t="shared" si="2"/>
        <v>Average</v>
      </c>
      <c r="P28" t="str">
        <f t="shared" si="3"/>
        <v>Excellent</v>
      </c>
    </row>
    <row r="29" spans="1:16" x14ac:dyDescent="0.3">
      <c r="A29">
        <v>27</v>
      </c>
      <c r="B29" t="s">
        <v>65</v>
      </c>
      <c r="C29" t="s">
        <v>6</v>
      </c>
      <c r="D29">
        <v>4</v>
      </c>
      <c r="E29">
        <v>1</v>
      </c>
      <c r="F29">
        <v>1</v>
      </c>
      <c r="G29">
        <v>2</v>
      </c>
      <c r="H29">
        <v>7</v>
      </c>
      <c r="I29">
        <v>10</v>
      </c>
      <c r="J29">
        <v>-3</v>
      </c>
      <c r="K29">
        <v>4</v>
      </c>
      <c r="L29" s="11" t="s">
        <v>55</v>
      </c>
      <c r="M29" s="12">
        <f t="shared" si="0"/>
        <v>1.75</v>
      </c>
      <c r="N29" s="7">
        <f t="shared" si="1"/>
        <v>0.25</v>
      </c>
      <c r="O29" t="str">
        <f t="shared" si="2"/>
        <v>Average</v>
      </c>
      <c r="P29" t="str">
        <f t="shared" si="3"/>
        <v>Good</v>
      </c>
    </row>
    <row r="30" spans="1:16" x14ac:dyDescent="0.3">
      <c r="A30">
        <v>28</v>
      </c>
      <c r="B30" t="s">
        <v>66</v>
      </c>
      <c r="C30" t="s">
        <v>10</v>
      </c>
      <c r="D30">
        <v>4</v>
      </c>
      <c r="E30">
        <v>1</v>
      </c>
      <c r="F30">
        <v>1</v>
      </c>
      <c r="G30">
        <v>2</v>
      </c>
      <c r="H30">
        <v>6</v>
      </c>
      <c r="I30">
        <v>9</v>
      </c>
      <c r="J30">
        <v>-3</v>
      </c>
      <c r="K30">
        <v>4</v>
      </c>
      <c r="L30" s="10" t="s">
        <v>55</v>
      </c>
      <c r="M30" s="12">
        <f t="shared" si="0"/>
        <v>1.5</v>
      </c>
      <c r="N30" s="7">
        <f t="shared" si="1"/>
        <v>0.25</v>
      </c>
      <c r="O30" t="str">
        <f t="shared" si="2"/>
        <v>Average</v>
      </c>
      <c r="P30" t="str">
        <f t="shared" si="3"/>
        <v>Good</v>
      </c>
    </row>
    <row r="31" spans="1:16" x14ac:dyDescent="0.3">
      <c r="A31">
        <v>29</v>
      </c>
      <c r="B31" t="s">
        <v>67</v>
      </c>
      <c r="C31" t="s">
        <v>2</v>
      </c>
      <c r="D31">
        <v>4</v>
      </c>
      <c r="E31">
        <v>1</v>
      </c>
      <c r="F31">
        <v>1</v>
      </c>
      <c r="G31">
        <v>2</v>
      </c>
      <c r="H31">
        <v>5</v>
      </c>
      <c r="I31">
        <v>8</v>
      </c>
      <c r="J31">
        <v>-3</v>
      </c>
      <c r="K31">
        <v>4</v>
      </c>
      <c r="L31" s="10" t="s">
        <v>55</v>
      </c>
      <c r="M31" s="12">
        <f t="shared" si="0"/>
        <v>1.25</v>
      </c>
      <c r="N31" s="7">
        <f t="shared" si="1"/>
        <v>0.25</v>
      </c>
      <c r="O31" t="str">
        <f t="shared" si="2"/>
        <v>Average</v>
      </c>
      <c r="P31" t="str">
        <f t="shared" si="3"/>
        <v>Good</v>
      </c>
    </row>
    <row r="32" spans="1:16" x14ac:dyDescent="0.3">
      <c r="A32">
        <v>30</v>
      </c>
      <c r="B32" t="s">
        <v>68</v>
      </c>
      <c r="C32" t="s">
        <v>10</v>
      </c>
      <c r="D32">
        <v>4</v>
      </c>
      <c r="E32">
        <v>1</v>
      </c>
      <c r="F32">
        <v>1</v>
      </c>
      <c r="G32">
        <v>2</v>
      </c>
      <c r="H32">
        <v>5</v>
      </c>
      <c r="I32">
        <v>9</v>
      </c>
      <c r="J32">
        <v>-4</v>
      </c>
      <c r="K32">
        <v>4</v>
      </c>
      <c r="L32" s="10" t="s">
        <v>55</v>
      </c>
      <c r="M32" s="12">
        <f t="shared" si="0"/>
        <v>1.25</v>
      </c>
      <c r="N32" s="7">
        <f t="shared" si="1"/>
        <v>0.25</v>
      </c>
      <c r="O32" t="str">
        <f t="shared" si="2"/>
        <v>Average</v>
      </c>
      <c r="P32" t="str">
        <f t="shared" si="3"/>
        <v>Good</v>
      </c>
    </row>
    <row r="33" spans="1:16" x14ac:dyDescent="0.3">
      <c r="A33">
        <v>31</v>
      </c>
      <c r="B33" t="s">
        <v>69</v>
      </c>
      <c r="C33" t="s">
        <v>9</v>
      </c>
      <c r="D33">
        <v>4</v>
      </c>
      <c r="E33">
        <v>1</v>
      </c>
      <c r="F33">
        <v>0</v>
      </c>
      <c r="G33">
        <v>3</v>
      </c>
      <c r="H33">
        <v>10</v>
      </c>
      <c r="I33">
        <v>9</v>
      </c>
      <c r="J33">
        <v>1</v>
      </c>
      <c r="K33">
        <v>3</v>
      </c>
      <c r="L33" s="10" t="s">
        <v>55</v>
      </c>
      <c r="M33" s="12">
        <f t="shared" si="0"/>
        <v>2.5</v>
      </c>
      <c r="N33" s="7">
        <f t="shared" si="1"/>
        <v>0.25</v>
      </c>
      <c r="O33" t="str">
        <f t="shared" si="2"/>
        <v>Good</v>
      </c>
      <c r="P33" t="str">
        <f t="shared" si="3"/>
        <v>Good</v>
      </c>
    </row>
    <row r="34" spans="1:16" x14ac:dyDescent="0.3">
      <c r="A34">
        <v>32</v>
      </c>
      <c r="B34" t="s">
        <v>70</v>
      </c>
      <c r="C34" t="s">
        <v>8</v>
      </c>
      <c r="D34">
        <v>4</v>
      </c>
      <c r="E34">
        <v>0</v>
      </c>
      <c r="F34">
        <v>3</v>
      </c>
      <c r="G34">
        <v>1</v>
      </c>
      <c r="H34">
        <v>4</v>
      </c>
      <c r="I34">
        <v>5</v>
      </c>
      <c r="J34">
        <v>-1</v>
      </c>
      <c r="K34">
        <v>3</v>
      </c>
      <c r="L34" s="10" t="s">
        <v>55</v>
      </c>
      <c r="M34" s="12">
        <f t="shared" si="0"/>
        <v>1</v>
      </c>
      <c r="N34" s="7">
        <f t="shared" si="1"/>
        <v>0</v>
      </c>
      <c r="O34" t="str">
        <f t="shared" si="2"/>
        <v>Average</v>
      </c>
      <c r="P34" t="str">
        <f t="shared" si="3"/>
        <v>Excellent</v>
      </c>
    </row>
    <row r="35" spans="1:16" x14ac:dyDescent="0.3">
      <c r="A35">
        <v>33</v>
      </c>
      <c r="B35" t="s">
        <v>71</v>
      </c>
      <c r="C35" t="s">
        <v>7</v>
      </c>
      <c r="D35">
        <v>3</v>
      </c>
      <c r="E35">
        <v>0</v>
      </c>
      <c r="F35">
        <v>3</v>
      </c>
      <c r="G35">
        <v>0</v>
      </c>
      <c r="H35">
        <v>3</v>
      </c>
      <c r="I35">
        <v>3</v>
      </c>
      <c r="J35">
        <v>0</v>
      </c>
      <c r="K35">
        <v>3</v>
      </c>
      <c r="L35" s="10" t="s">
        <v>72</v>
      </c>
      <c r="M35" s="12">
        <f t="shared" ref="M35:M50" si="4">IF(D35=0,0,H35/D35)</f>
        <v>1</v>
      </c>
      <c r="N35" s="7">
        <f t="shared" ref="N35:N50" si="5">E35/D35</f>
        <v>0</v>
      </c>
      <c r="O35" t="str">
        <f t="shared" ref="O35:O50" si="6">IF(H35&gt;=15,"Excellent",IF(H35&gt;=10,"Good","Average"))</f>
        <v>Average</v>
      </c>
      <c r="P35" t="str">
        <f t="shared" ref="P35:P50" si="7">IF(I35&lt;=5,"Excellent",IF(I35&lt;=10,"Good","Average"))</f>
        <v>Excellent</v>
      </c>
    </row>
    <row r="36" spans="1:16" x14ac:dyDescent="0.3">
      <c r="A36">
        <v>34</v>
      </c>
      <c r="B36" t="s">
        <v>73</v>
      </c>
      <c r="C36" t="s">
        <v>1</v>
      </c>
      <c r="D36">
        <v>3</v>
      </c>
      <c r="E36">
        <v>1</v>
      </c>
      <c r="F36">
        <v>0</v>
      </c>
      <c r="G36">
        <v>2</v>
      </c>
      <c r="H36">
        <v>3</v>
      </c>
      <c r="I36">
        <v>3</v>
      </c>
      <c r="J36">
        <v>-1</v>
      </c>
      <c r="K36">
        <v>3</v>
      </c>
      <c r="L36" s="10" t="s">
        <v>72</v>
      </c>
      <c r="M36" s="12">
        <f t="shared" si="4"/>
        <v>1</v>
      </c>
      <c r="N36" s="7">
        <f t="shared" si="5"/>
        <v>0.33333333333333331</v>
      </c>
      <c r="O36" t="str">
        <f t="shared" si="6"/>
        <v>Average</v>
      </c>
      <c r="P36" t="str">
        <f t="shared" si="7"/>
        <v>Excellent</v>
      </c>
    </row>
    <row r="37" spans="1:16" x14ac:dyDescent="0.3">
      <c r="A37">
        <v>35</v>
      </c>
      <c r="B37" t="s">
        <v>74</v>
      </c>
      <c r="C37" t="s">
        <v>4</v>
      </c>
      <c r="D37">
        <v>3</v>
      </c>
      <c r="E37">
        <v>1</v>
      </c>
      <c r="F37">
        <v>0</v>
      </c>
      <c r="G37">
        <v>2</v>
      </c>
      <c r="H37">
        <v>5</v>
      </c>
      <c r="I37">
        <v>5</v>
      </c>
      <c r="J37">
        <v>-2</v>
      </c>
      <c r="K37">
        <v>3</v>
      </c>
      <c r="L37" s="10" t="s">
        <v>72</v>
      </c>
      <c r="M37" s="12">
        <f t="shared" si="4"/>
        <v>1.6666666666666667</v>
      </c>
      <c r="N37" s="7">
        <f t="shared" si="5"/>
        <v>0.33333333333333331</v>
      </c>
      <c r="O37" t="str">
        <f t="shared" si="6"/>
        <v>Average</v>
      </c>
      <c r="P37" t="str">
        <f t="shared" si="7"/>
        <v>Excellent</v>
      </c>
    </row>
    <row r="38" spans="1:16" x14ac:dyDescent="0.3">
      <c r="A38">
        <v>36</v>
      </c>
      <c r="B38" t="s">
        <v>75</v>
      </c>
      <c r="C38" t="s">
        <v>3</v>
      </c>
      <c r="D38">
        <v>3</v>
      </c>
      <c r="E38">
        <v>1</v>
      </c>
      <c r="F38">
        <v>0</v>
      </c>
      <c r="G38">
        <v>2</v>
      </c>
      <c r="H38">
        <v>4</v>
      </c>
      <c r="I38">
        <v>4</v>
      </c>
      <c r="J38">
        <v>-3</v>
      </c>
      <c r="K38">
        <v>3</v>
      </c>
      <c r="L38" s="10" t="s">
        <v>72</v>
      </c>
      <c r="M38" s="12">
        <f t="shared" si="4"/>
        <v>1.3333333333333333</v>
      </c>
      <c r="N38" s="7">
        <f t="shared" si="5"/>
        <v>0.33333333333333331</v>
      </c>
      <c r="O38" t="str">
        <f t="shared" si="6"/>
        <v>Average</v>
      </c>
      <c r="P38" t="str">
        <f t="shared" si="7"/>
        <v>Excellent</v>
      </c>
    </row>
    <row r="39" spans="1:16" x14ac:dyDescent="0.3">
      <c r="A39">
        <v>37</v>
      </c>
      <c r="B39" t="s">
        <v>76</v>
      </c>
      <c r="C39" t="s">
        <v>8</v>
      </c>
      <c r="D39">
        <v>3</v>
      </c>
      <c r="E39">
        <v>0</v>
      </c>
      <c r="F39">
        <v>2</v>
      </c>
      <c r="G39">
        <v>1</v>
      </c>
      <c r="H39">
        <v>4</v>
      </c>
      <c r="I39">
        <v>4</v>
      </c>
      <c r="J39">
        <v>-1</v>
      </c>
      <c r="K39">
        <v>2</v>
      </c>
      <c r="L39" s="10" t="s">
        <v>72</v>
      </c>
      <c r="M39" s="12">
        <f t="shared" si="4"/>
        <v>1.3333333333333333</v>
      </c>
      <c r="N39" s="7">
        <f t="shared" si="5"/>
        <v>0</v>
      </c>
      <c r="O39" t="str">
        <f t="shared" si="6"/>
        <v>Average</v>
      </c>
      <c r="P39" t="str">
        <f t="shared" si="7"/>
        <v>Excellent</v>
      </c>
    </row>
    <row r="40" spans="1:16" x14ac:dyDescent="0.3">
      <c r="A40">
        <v>38</v>
      </c>
      <c r="B40" t="s">
        <v>77</v>
      </c>
      <c r="C40" t="s">
        <v>8</v>
      </c>
      <c r="D40">
        <v>3</v>
      </c>
      <c r="E40">
        <v>0</v>
      </c>
      <c r="F40">
        <v>2</v>
      </c>
      <c r="G40">
        <v>1</v>
      </c>
      <c r="H40">
        <v>5</v>
      </c>
      <c r="I40">
        <v>5</v>
      </c>
      <c r="J40">
        <v>-4</v>
      </c>
      <c r="K40">
        <v>2</v>
      </c>
      <c r="L40" s="10" t="s">
        <v>72</v>
      </c>
      <c r="M40" s="12">
        <f t="shared" si="4"/>
        <v>1.6666666666666667</v>
      </c>
      <c r="N40" s="7">
        <f t="shared" si="5"/>
        <v>0</v>
      </c>
      <c r="O40" t="str">
        <f t="shared" si="6"/>
        <v>Average</v>
      </c>
      <c r="P40" t="str">
        <f t="shared" si="7"/>
        <v>Excellent</v>
      </c>
    </row>
    <row r="41" spans="1:16" x14ac:dyDescent="0.3">
      <c r="A41">
        <v>39</v>
      </c>
      <c r="B41" t="s">
        <v>78</v>
      </c>
      <c r="C41" t="s">
        <v>1</v>
      </c>
      <c r="D41">
        <v>3</v>
      </c>
      <c r="E41">
        <v>0</v>
      </c>
      <c r="F41">
        <v>1</v>
      </c>
      <c r="G41">
        <v>2</v>
      </c>
      <c r="H41">
        <v>6</v>
      </c>
      <c r="I41">
        <v>6</v>
      </c>
      <c r="J41">
        <v>-4</v>
      </c>
      <c r="K41">
        <v>1</v>
      </c>
      <c r="L41" s="10" t="s">
        <v>72</v>
      </c>
      <c r="M41" s="12">
        <f t="shared" si="4"/>
        <v>2</v>
      </c>
      <c r="N41" s="7">
        <f t="shared" si="5"/>
        <v>0</v>
      </c>
      <c r="O41" t="str">
        <f t="shared" si="6"/>
        <v>Average</v>
      </c>
      <c r="P41" t="str">
        <f t="shared" si="7"/>
        <v>Good</v>
      </c>
    </row>
    <row r="42" spans="1:16" x14ac:dyDescent="0.3">
      <c r="A42">
        <v>40</v>
      </c>
      <c r="B42" t="s">
        <v>79</v>
      </c>
      <c r="C42" t="s">
        <v>7</v>
      </c>
      <c r="D42">
        <v>3</v>
      </c>
      <c r="E42">
        <v>0</v>
      </c>
      <c r="F42">
        <v>1</v>
      </c>
      <c r="G42">
        <v>2</v>
      </c>
      <c r="H42">
        <v>10</v>
      </c>
      <c r="I42">
        <v>10</v>
      </c>
      <c r="J42">
        <v>-6</v>
      </c>
      <c r="K42">
        <v>1</v>
      </c>
      <c r="L42" s="10" t="s">
        <v>72</v>
      </c>
      <c r="M42" s="12">
        <f t="shared" si="4"/>
        <v>3.3333333333333335</v>
      </c>
      <c r="N42" s="7">
        <f t="shared" si="5"/>
        <v>0</v>
      </c>
      <c r="O42" t="str">
        <f t="shared" si="6"/>
        <v>Good</v>
      </c>
      <c r="P42" t="str">
        <f t="shared" si="7"/>
        <v>Good</v>
      </c>
    </row>
    <row r="43" spans="1:16" x14ac:dyDescent="0.3">
      <c r="A43">
        <v>41</v>
      </c>
      <c r="B43" t="s">
        <v>80</v>
      </c>
      <c r="C43" t="s">
        <v>2</v>
      </c>
      <c r="D43">
        <v>3</v>
      </c>
      <c r="E43">
        <v>0</v>
      </c>
      <c r="F43">
        <v>1</v>
      </c>
      <c r="G43">
        <v>2</v>
      </c>
      <c r="H43">
        <v>10</v>
      </c>
      <c r="I43">
        <v>10</v>
      </c>
      <c r="J43">
        <v>-8</v>
      </c>
      <c r="K43">
        <v>1</v>
      </c>
      <c r="L43" s="10" t="s">
        <v>72</v>
      </c>
      <c r="M43" s="12">
        <f t="shared" si="4"/>
        <v>3.3333333333333335</v>
      </c>
      <c r="N43" s="7">
        <f t="shared" si="5"/>
        <v>0</v>
      </c>
      <c r="O43" t="str">
        <f t="shared" si="6"/>
        <v>Good</v>
      </c>
      <c r="P43" t="str">
        <f t="shared" si="7"/>
        <v>Good</v>
      </c>
    </row>
    <row r="44" spans="1:16" x14ac:dyDescent="0.3">
      <c r="A44">
        <v>42</v>
      </c>
      <c r="B44" t="s">
        <v>81</v>
      </c>
      <c r="C44" t="s">
        <v>5</v>
      </c>
      <c r="D44">
        <v>3</v>
      </c>
      <c r="E44">
        <v>0</v>
      </c>
      <c r="F44">
        <v>1</v>
      </c>
      <c r="G44">
        <v>2</v>
      </c>
      <c r="H44">
        <v>9</v>
      </c>
      <c r="I44">
        <v>9</v>
      </c>
      <c r="J44">
        <v>-8</v>
      </c>
      <c r="K44">
        <v>1</v>
      </c>
      <c r="L44" s="10" t="s">
        <v>72</v>
      </c>
      <c r="M44" s="12">
        <f t="shared" si="4"/>
        <v>3</v>
      </c>
      <c r="N44" s="7">
        <f t="shared" si="5"/>
        <v>0</v>
      </c>
      <c r="O44" t="str">
        <f t="shared" si="6"/>
        <v>Average</v>
      </c>
      <c r="P44" t="str">
        <f t="shared" si="7"/>
        <v>Good</v>
      </c>
    </row>
    <row r="45" spans="1:16" x14ac:dyDescent="0.3">
      <c r="A45">
        <v>43</v>
      </c>
      <c r="B45" t="s">
        <v>82</v>
      </c>
      <c r="C45" t="s">
        <v>12</v>
      </c>
      <c r="D45">
        <v>3</v>
      </c>
      <c r="E45">
        <v>0</v>
      </c>
      <c r="F45">
        <v>0</v>
      </c>
      <c r="G45">
        <v>3</v>
      </c>
      <c r="H45">
        <v>4</v>
      </c>
      <c r="I45">
        <v>4</v>
      </c>
      <c r="J45">
        <v>-4</v>
      </c>
      <c r="K45">
        <v>0</v>
      </c>
      <c r="L45" s="10" t="s">
        <v>72</v>
      </c>
      <c r="M45" s="12">
        <f t="shared" si="4"/>
        <v>1.3333333333333333</v>
      </c>
      <c r="N45" s="7">
        <f t="shared" si="5"/>
        <v>0</v>
      </c>
      <c r="O45" t="str">
        <f t="shared" si="6"/>
        <v>Average</v>
      </c>
      <c r="P45" t="str">
        <f t="shared" si="7"/>
        <v>Excellent</v>
      </c>
    </row>
    <row r="46" spans="1:16" x14ac:dyDescent="0.3">
      <c r="A46">
        <v>44</v>
      </c>
      <c r="B46" t="s">
        <v>83</v>
      </c>
      <c r="C46" t="s">
        <v>10</v>
      </c>
      <c r="D46">
        <v>3</v>
      </c>
      <c r="E46">
        <v>0</v>
      </c>
      <c r="F46">
        <v>0</v>
      </c>
      <c r="G46">
        <v>3</v>
      </c>
      <c r="H46">
        <v>8</v>
      </c>
      <c r="I46">
        <v>8</v>
      </c>
      <c r="J46">
        <v>-5</v>
      </c>
      <c r="K46">
        <v>0</v>
      </c>
      <c r="L46" s="10" t="s">
        <v>72</v>
      </c>
      <c r="M46" s="12">
        <f t="shared" si="4"/>
        <v>2.6666666666666665</v>
      </c>
      <c r="N46" s="7">
        <f t="shared" si="5"/>
        <v>0</v>
      </c>
      <c r="O46" t="str">
        <f t="shared" si="6"/>
        <v>Average</v>
      </c>
      <c r="P46" t="str">
        <f t="shared" si="7"/>
        <v>Good</v>
      </c>
    </row>
    <row r="47" spans="1:16" x14ac:dyDescent="0.3">
      <c r="A47">
        <v>45</v>
      </c>
      <c r="B47" t="s">
        <v>84</v>
      </c>
      <c r="C47" t="s">
        <v>3</v>
      </c>
      <c r="D47">
        <v>3</v>
      </c>
      <c r="E47">
        <v>0</v>
      </c>
      <c r="F47">
        <v>0</v>
      </c>
      <c r="G47">
        <v>3</v>
      </c>
      <c r="H47">
        <v>8</v>
      </c>
      <c r="I47">
        <v>8</v>
      </c>
      <c r="J47">
        <v>-6</v>
      </c>
      <c r="K47">
        <v>0</v>
      </c>
      <c r="L47" s="10" t="s">
        <v>72</v>
      </c>
      <c r="M47" s="12">
        <f t="shared" si="4"/>
        <v>2.6666666666666665</v>
      </c>
      <c r="N47" s="7">
        <f t="shared" si="5"/>
        <v>0</v>
      </c>
      <c r="O47" t="str">
        <f t="shared" si="6"/>
        <v>Average</v>
      </c>
      <c r="P47" t="str">
        <f t="shared" si="7"/>
        <v>Good</v>
      </c>
    </row>
    <row r="48" spans="1:16" x14ac:dyDescent="0.3">
      <c r="A48">
        <v>46</v>
      </c>
      <c r="B48" t="s">
        <v>85</v>
      </c>
      <c r="C48" t="s">
        <v>11</v>
      </c>
      <c r="D48">
        <v>3</v>
      </c>
      <c r="E48">
        <v>0</v>
      </c>
      <c r="F48">
        <v>0</v>
      </c>
      <c r="G48">
        <v>3</v>
      </c>
      <c r="H48">
        <v>11</v>
      </c>
      <c r="I48">
        <v>11</v>
      </c>
      <c r="J48">
        <v>-9</v>
      </c>
      <c r="K48">
        <v>0</v>
      </c>
      <c r="L48" s="10" t="s">
        <v>72</v>
      </c>
      <c r="M48" s="12">
        <f t="shared" si="4"/>
        <v>3.6666666666666665</v>
      </c>
      <c r="N48" s="7">
        <f t="shared" si="5"/>
        <v>0</v>
      </c>
      <c r="O48" t="str">
        <f t="shared" si="6"/>
        <v>Good</v>
      </c>
      <c r="P48" t="str">
        <f t="shared" si="7"/>
        <v>Average</v>
      </c>
    </row>
    <row r="49" spans="1:16" x14ac:dyDescent="0.3">
      <c r="A49">
        <v>47</v>
      </c>
      <c r="B49" t="s">
        <v>86</v>
      </c>
      <c r="C49" t="s">
        <v>6</v>
      </c>
      <c r="D49">
        <v>3</v>
      </c>
      <c r="E49">
        <v>0</v>
      </c>
      <c r="F49">
        <v>0</v>
      </c>
      <c r="G49">
        <v>3</v>
      </c>
      <c r="H49">
        <v>12</v>
      </c>
      <c r="I49">
        <v>12</v>
      </c>
      <c r="J49">
        <v>-10</v>
      </c>
      <c r="K49">
        <v>0</v>
      </c>
      <c r="L49" s="10" t="s">
        <v>72</v>
      </c>
      <c r="M49" s="12">
        <f t="shared" si="4"/>
        <v>4</v>
      </c>
      <c r="N49" s="7">
        <f t="shared" si="5"/>
        <v>0</v>
      </c>
      <c r="O49" t="str">
        <f t="shared" si="6"/>
        <v>Good</v>
      </c>
      <c r="P49" t="str">
        <f t="shared" si="7"/>
        <v>Average</v>
      </c>
    </row>
    <row r="50" spans="1:16" x14ac:dyDescent="0.3">
      <c r="A50">
        <v>48</v>
      </c>
      <c r="B50" t="s">
        <v>87</v>
      </c>
      <c r="C50" t="s">
        <v>9</v>
      </c>
      <c r="D50">
        <v>3</v>
      </c>
      <c r="E50">
        <v>0</v>
      </c>
      <c r="F50">
        <v>0</v>
      </c>
      <c r="G50">
        <v>3</v>
      </c>
      <c r="H50">
        <v>12</v>
      </c>
      <c r="I50">
        <v>12</v>
      </c>
      <c r="J50">
        <v>-11</v>
      </c>
      <c r="K50">
        <v>0</v>
      </c>
      <c r="L50" s="10" t="s">
        <v>72</v>
      </c>
      <c r="M50" s="12">
        <f t="shared" si="4"/>
        <v>4</v>
      </c>
      <c r="N50" s="7">
        <f t="shared" si="5"/>
        <v>0</v>
      </c>
      <c r="O50" t="str">
        <f t="shared" si="6"/>
        <v>Good</v>
      </c>
      <c r="P50" t="str">
        <f t="shared" si="7"/>
        <v>Average</v>
      </c>
    </row>
  </sheetData>
  <mergeCells count="1">
    <mergeCell ref="A1:L1"/>
  </mergeCells>
  <pageMargins left="0.75" right="0.75" top="1" bottom="1" header="0.5" footer="0.5"/>
  <pageSetup paperSize="9"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15909-2B02-439E-8DDD-4AB131CD6947}">
  <sheetPr>
    <pageSetUpPr fitToPage="1"/>
  </sheetPr>
  <dimension ref="A1:U65"/>
  <sheetViews>
    <sheetView showGridLines="0" zoomScale="107" zoomScaleNormal="103" workbookViewId="0">
      <selection sqref="A1:U3"/>
    </sheetView>
  </sheetViews>
  <sheetFormatPr defaultRowHeight="14.4" x14ac:dyDescent="0.3"/>
  <sheetData>
    <row r="1" spans="1:21" x14ac:dyDescent="0.3">
      <c r="A1" s="23" t="s">
        <v>99</v>
      </c>
      <c r="B1" s="22"/>
      <c r="C1" s="22"/>
      <c r="D1" s="22"/>
      <c r="E1" s="22"/>
      <c r="F1" s="22"/>
      <c r="G1" s="22"/>
      <c r="H1" s="22"/>
      <c r="I1" s="22"/>
      <c r="J1" s="22"/>
      <c r="K1" s="22"/>
      <c r="L1" s="22"/>
      <c r="M1" s="22"/>
      <c r="N1" s="22"/>
      <c r="O1" s="22"/>
      <c r="P1" s="22"/>
      <c r="Q1" s="22"/>
      <c r="R1" s="22"/>
      <c r="S1" s="22"/>
      <c r="T1" s="22"/>
      <c r="U1" s="22"/>
    </row>
    <row r="2" spans="1:21" x14ac:dyDescent="0.3">
      <c r="A2" s="22"/>
      <c r="B2" s="22"/>
      <c r="C2" s="22"/>
      <c r="D2" s="22"/>
      <c r="E2" s="22"/>
      <c r="F2" s="22"/>
      <c r="G2" s="22"/>
      <c r="H2" s="22"/>
      <c r="I2" s="22"/>
      <c r="J2" s="22"/>
      <c r="K2" s="22"/>
      <c r="L2" s="22"/>
      <c r="M2" s="22"/>
      <c r="N2" s="22"/>
      <c r="O2" s="22"/>
      <c r="P2" s="22"/>
      <c r="Q2" s="22"/>
      <c r="R2" s="22"/>
      <c r="S2" s="22"/>
      <c r="T2" s="22"/>
      <c r="U2" s="22"/>
    </row>
    <row r="3" spans="1:21" x14ac:dyDescent="0.3">
      <c r="A3" s="22"/>
      <c r="B3" s="22"/>
      <c r="C3" s="22"/>
      <c r="D3" s="22"/>
      <c r="E3" s="22"/>
      <c r="F3" s="22"/>
      <c r="G3" s="22"/>
      <c r="H3" s="22"/>
      <c r="I3" s="22"/>
      <c r="J3" s="22"/>
      <c r="K3" s="22"/>
      <c r="L3" s="22"/>
      <c r="M3" s="22"/>
      <c r="N3" s="22"/>
      <c r="O3" s="22"/>
      <c r="P3" s="22"/>
      <c r="Q3" s="22"/>
      <c r="R3" s="22"/>
      <c r="S3" s="22"/>
      <c r="T3" s="22"/>
      <c r="U3" s="22"/>
    </row>
    <row r="11" spans="1:21" x14ac:dyDescent="0.3">
      <c r="A11" s="21" t="s">
        <v>90</v>
      </c>
      <c r="B11" s="24"/>
      <c r="C11" s="24"/>
      <c r="D11" s="24"/>
      <c r="E11" s="24"/>
      <c r="F11" s="24"/>
      <c r="G11" s="24"/>
      <c r="H11" s="24"/>
      <c r="I11" s="24"/>
      <c r="J11" s="24"/>
      <c r="L11" s="21" t="s">
        <v>91</v>
      </c>
      <c r="M11" s="22"/>
      <c r="N11" s="22"/>
      <c r="O11" s="22"/>
      <c r="P11" s="22"/>
      <c r="Q11" s="22"/>
      <c r="R11" s="22"/>
      <c r="S11" s="22"/>
      <c r="T11" s="22"/>
      <c r="U11" s="22"/>
    </row>
    <row r="31" spans="1:21" x14ac:dyDescent="0.3">
      <c r="A31" s="21" t="s">
        <v>93</v>
      </c>
      <c r="B31" s="24"/>
      <c r="C31" s="24"/>
      <c r="D31" s="24"/>
      <c r="E31" s="24"/>
      <c r="F31" s="24"/>
      <c r="G31" s="24"/>
      <c r="H31" s="24"/>
      <c r="I31" s="24"/>
      <c r="J31" s="24"/>
      <c r="L31" s="21" t="s">
        <v>94</v>
      </c>
      <c r="M31" s="22"/>
      <c r="N31" s="22"/>
      <c r="O31" s="22"/>
      <c r="P31" s="22"/>
      <c r="Q31" s="22"/>
      <c r="R31" s="22"/>
      <c r="S31" s="22"/>
      <c r="T31" s="22"/>
      <c r="U31" s="22"/>
    </row>
    <row r="52" spans="1:21" x14ac:dyDescent="0.3">
      <c r="A52" s="21" t="s">
        <v>95</v>
      </c>
      <c r="B52" s="22"/>
      <c r="C52" s="22"/>
      <c r="D52" s="22"/>
      <c r="E52" s="22"/>
      <c r="F52" s="22"/>
      <c r="G52" s="22"/>
      <c r="H52" s="22"/>
      <c r="I52" s="22"/>
      <c r="J52" s="22"/>
      <c r="L52" s="14"/>
      <c r="M52" s="14"/>
      <c r="N52" s="14"/>
      <c r="O52" s="14"/>
      <c r="P52" s="15" t="s">
        <v>96</v>
      </c>
      <c r="Q52" s="14"/>
      <c r="R52" s="14"/>
      <c r="S52" s="14"/>
      <c r="T52" s="14"/>
      <c r="U52" s="14"/>
    </row>
    <row r="54" spans="1:21" x14ac:dyDescent="0.3">
      <c r="A54" s="16" t="s">
        <v>29</v>
      </c>
      <c r="B54" s="16" t="s">
        <v>30</v>
      </c>
      <c r="C54" s="16" t="s">
        <v>0</v>
      </c>
      <c r="D54" s="16" t="s">
        <v>31</v>
      </c>
      <c r="E54" s="16" t="s">
        <v>32</v>
      </c>
      <c r="F54" s="16" t="s">
        <v>34</v>
      </c>
      <c r="G54" s="16" t="s">
        <v>35</v>
      </c>
      <c r="H54" s="16" t="s">
        <v>36</v>
      </c>
      <c r="I54" s="16" t="s">
        <v>37</v>
      </c>
      <c r="J54" s="16" t="s">
        <v>38</v>
      </c>
    </row>
    <row r="55" spans="1:21" x14ac:dyDescent="0.3">
      <c r="A55" s="17">
        <v>1</v>
      </c>
      <c r="B55" s="17" t="s">
        <v>25</v>
      </c>
      <c r="C55" s="17" t="s">
        <v>8</v>
      </c>
      <c r="D55" s="17">
        <v>8</v>
      </c>
      <c r="E55" s="17">
        <v>7</v>
      </c>
      <c r="F55" s="17">
        <v>0</v>
      </c>
      <c r="G55" s="17">
        <v>14</v>
      </c>
      <c r="H55" s="17">
        <v>1</v>
      </c>
      <c r="I55" s="17">
        <v>13</v>
      </c>
      <c r="J55" s="17">
        <v>22</v>
      </c>
    </row>
    <row r="56" spans="1:21" x14ac:dyDescent="0.3">
      <c r="A56" s="17">
        <v>2</v>
      </c>
      <c r="B56" s="17" t="s">
        <v>16</v>
      </c>
      <c r="C56" s="17" t="s">
        <v>10</v>
      </c>
      <c r="D56" s="17">
        <v>8</v>
      </c>
      <c r="E56" s="17">
        <v>7</v>
      </c>
      <c r="F56" s="17">
        <v>1</v>
      </c>
      <c r="G56" s="17">
        <v>19</v>
      </c>
      <c r="H56" s="17">
        <v>8</v>
      </c>
      <c r="I56" s="17">
        <v>11</v>
      </c>
      <c r="J56" s="17">
        <v>21</v>
      </c>
    </row>
    <row r="57" spans="1:21" x14ac:dyDescent="0.3">
      <c r="A57" s="17">
        <v>3</v>
      </c>
      <c r="B57" s="17" t="s">
        <v>20</v>
      </c>
      <c r="C57" s="17" t="s">
        <v>12</v>
      </c>
      <c r="D57" s="17">
        <v>8</v>
      </c>
      <c r="E57" s="17">
        <v>6</v>
      </c>
      <c r="F57" s="17">
        <v>1</v>
      </c>
      <c r="G57" s="17">
        <v>20</v>
      </c>
      <c r="H57" s="17">
        <v>12</v>
      </c>
      <c r="I57" s="17">
        <v>8</v>
      </c>
      <c r="J57" s="17">
        <v>19</v>
      </c>
    </row>
    <row r="58" spans="1:21" x14ac:dyDescent="0.3">
      <c r="A58" s="17">
        <v>4</v>
      </c>
      <c r="B58" s="17" t="s">
        <v>21</v>
      </c>
      <c r="C58" s="17" t="s">
        <v>9</v>
      </c>
      <c r="D58" s="17">
        <v>8</v>
      </c>
      <c r="E58" s="17">
        <v>6</v>
      </c>
      <c r="F58" s="17">
        <v>2</v>
      </c>
      <c r="G58" s="17">
        <v>20</v>
      </c>
      <c r="H58" s="17">
        <v>10</v>
      </c>
      <c r="I58" s="17">
        <v>10</v>
      </c>
      <c r="J58" s="17">
        <v>18</v>
      </c>
    </row>
    <row r="59" spans="1:21" x14ac:dyDescent="0.3">
      <c r="A59" s="17">
        <v>5</v>
      </c>
      <c r="B59" s="17" t="s">
        <v>24</v>
      </c>
      <c r="C59" s="17" t="s">
        <v>9</v>
      </c>
      <c r="D59" s="17">
        <v>6</v>
      </c>
      <c r="E59" s="17">
        <v>4</v>
      </c>
      <c r="F59" s="17">
        <v>2</v>
      </c>
      <c r="G59" s="17">
        <v>13</v>
      </c>
      <c r="H59" s="17">
        <v>11</v>
      </c>
      <c r="I59" s="17">
        <v>2</v>
      </c>
      <c r="J59" s="17">
        <v>12</v>
      </c>
    </row>
    <row r="60" spans="1:21" x14ac:dyDescent="0.3">
      <c r="A60" s="17">
        <v>6</v>
      </c>
      <c r="B60" s="17" t="s">
        <v>17</v>
      </c>
      <c r="C60" s="17" t="s">
        <v>7</v>
      </c>
      <c r="D60" s="17">
        <v>6</v>
      </c>
      <c r="E60" s="17">
        <v>3</v>
      </c>
      <c r="F60" s="17">
        <v>1</v>
      </c>
      <c r="G60" s="17">
        <v>14</v>
      </c>
      <c r="H60" s="17">
        <v>7</v>
      </c>
      <c r="I60" s="17">
        <v>7</v>
      </c>
      <c r="J60" s="17">
        <v>11</v>
      </c>
    </row>
    <row r="61" spans="1:21" x14ac:dyDescent="0.3">
      <c r="A61" s="17">
        <v>7</v>
      </c>
      <c r="B61" s="17" t="s">
        <v>23</v>
      </c>
      <c r="C61" s="17" t="s">
        <v>3</v>
      </c>
      <c r="D61" s="17">
        <v>6</v>
      </c>
      <c r="E61" s="17">
        <v>3</v>
      </c>
      <c r="F61" s="17">
        <v>1</v>
      </c>
      <c r="G61" s="17">
        <v>10</v>
      </c>
      <c r="H61" s="17">
        <v>6</v>
      </c>
      <c r="I61" s="17">
        <v>4</v>
      </c>
      <c r="J61" s="17">
        <v>11</v>
      </c>
    </row>
    <row r="62" spans="1:21" x14ac:dyDescent="0.3">
      <c r="A62" s="17">
        <v>8</v>
      </c>
      <c r="B62" s="18" t="s">
        <v>26</v>
      </c>
      <c r="C62" s="17" t="s">
        <v>2</v>
      </c>
      <c r="D62" s="17">
        <v>6</v>
      </c>
      <c r="E62" s="17">
        <v>3</v>
      </c>
      <c r="F62" s="17">
        <v>1</v>
      </c>
      <c r="G62" s="17">
        <v>10</v>
      </c>
      <c r="H62" s="17">
        <v>6</v>
      </c>
      <c r="I62" s="17">
        <v>4</v>
      </c>
      <c r="J62" s="17">
        <v>11</v>
      </c>
    </row>
    <row r="63" spans="1:21" x14ac:dyDescent="0.3">
      <c r="A63" s="17">
        <v>9</v>
      </c>
      <c r="B63" s="17" t="s">
        <v>22</v>
      </c>
      <c r="C63" s="17" t="s">
        <v>1</v>
      </c>
      <c r="D63" s="17">
        <v>5</v>
      </c>
      <c r="E63" s="17">
        <v>4</v>
      </c>
      <c r="F63" s="17">
        <v>1</v>
      </c>
      <c r="G63" s="17">
        <v>10</v>
      </c>
      <c r="H63" s="17">
        <v>3</v>
      </c>
      <c r="I63" s="17">
        <v>7</v>
      </c>
      <c r="J63" s="17">
        <v>12</v>
      </c>
    </row>
    <row r="64" spans="1:21" x14ac:dyDescent="0.3">
      <c r="A64" s="17">
        <v>10</v>
      </c>
      <c r="B64" s="17" t="s">
        <v>19</v>
      </c>
      <c r="C64" s="17" t="s">
        <v>11</v>
      </c>
      <c r="D64" s="17">
        <v>5</v>
      </c>
      <c r="E64" s="17">
        <v>3</v>
      </c>
      <c r="F64" s="17">
        <v>0</v>
      </c>
      <c r="G64" s="17">
        <v>5</v>
      </c>
      <c r="H64" s="17">
        <v>1</v>
      </c>
      <c r="I64" s="17">
        <v>4</v>
      </c>
      <c r="J64" s="17">
        <v>11</v>
      </c>
    </row>
    <row r="65" spans="8:8" x14ac:dyDescent="0.3">
      <c r="H65" s="10"/>
    </row>
  </sheetData>
  <mergeCells count="6">
    <mergeCell ref="A52:J52"/>
    <mergeCell ref="A1:U3"/>
    <mergeCell ref="A11:J11"/>
    <mergeCell ref="L11:U11"/>
    <mergeCell ref="A31:J31"/>
    <mergeCell ref="L31:U31"/>
  </mergeCells>
  <pageMargins left="0.25" right="0.25" top="0.75" bottom="0.75" header="0.3" footer="0.3"/>
  <pageSetup paperSize="9"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Pivot Tables</vt:lpstr>
      <vt:lpstr>Final Tournament Standings</vt:lpstr>
      <vt:lpstr>DashBoard</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Priyanka Mylavaram</cp:lastModifiedBy>
  <dcterms:created xsi:type="dcterms:W3CDTF">2026-07-26T11:17:19Z</dcterms:created>
  <dcterms:modified xsi:type="dcterms:W3CDTF">2026-08-01T04:29:36Z</dcterms:modified>
</cp:coreProperties>
</file>